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0396cb379e3a3ab8/Documents/Projects/Society_v1/Old Work/Backups/2026_Jan_04/"/>
    </mc:Choice>
  </mc:AlternateContent>
  <xr:revisionPtr revIDLastSave="12" documentId="8_{ED65F0B3-21E7-4477-B09D-7F37D962E108}" xr6:coauthVersionLast="47" xr6:coauthVersionMax="47" xr10:uidLastSave="{47DC9287-258F-47D0-939C-960AFA0FA065}"/>
  <bookViews>
    <workbookView xWindow="-15" yWindow="-15" windowWidth="19215" windowHeight="10095" xr2:uid="{D7722B4C-434F-4E8B-BF65-156EC5BBE20D}"/>
  </bookViews>
  <sheets>
    <sheet name="Influence Matrix" sheetId="1" r:id="rId1"/>
    <sheet name="Sources" sheetId="9" r:id="rId2"/>
    <sheet name="Sliders" sheetId="3" r:id="rId3"/>
    <sheet name="Indicators" sheetId="6" r:id="rId4"/>
    <sheet name="Enums" sheetId="10" r:id="rId5"/>
  </sheets>
  <definedNames>
    <definedName name="_xlnm.Print_Titles" localSheetId="0">'Influence Matrix'!$A:$A</definedName>
  </definedNames>
  <calcPr calcId="191029"/>
  <customWorkbookViews>
    <customWorkbookView name="ALL" guid="{C6883EF1-A235-4F7F-9B70-0CC3974E9739}" maximized="1" xWindow="1912" yWindow="126" windowWidth="1376" windowHeight="73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3" i="9" l="1"/>
  <c r="D46" i="9"/>
  <c r="D45" i="9"/>
  <c r="D44" i="9"/>
  <c r="D37" i="9"/>
  <c r="D26" i="9"/>
  <c r="D7" i="9"/>
  <c r="D23" i="9"/>
  <c r="D18" i="9"/>
  <c r="D15" i="9"/>
  <c r="D12" i="9"/>
  <c r="D10" i="9"/>
  <c r="D9" i="9"/>
  <c r="D3" i="9"/>
  <c r="D5" i="9"/>
  <c r="D32" i="9"/>
  <c r="D25" i="9"/>
  <c r="D41" i="9"/>
  <c r="D40" i="9"/>
  <c r="D39" i="9"/>
  <c r="D33" i="9"/>
  <c r="D52"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1" i="9"/>
  <c r="D50" i="9"/>
  <c r="D49" i="9"/>
  <c r="D48" i="9"/>
  <c r="D47" i="9"/>
  <c r="D2" i="9"/>
  <c r="D4" i="9"/>
  <c r="D6" i="9"/>
  <c r="D8" i="9"/>
  <c r="D11" i="9"/>
  <c r="D13" i="9"/>
  <c r="D14" i="9"/>
  <c r="D16" i="9"/>
  <c r="D17" i="9"/>
  <c r="D19" i="9"/>
  <c r="D20" i="9"/>
  <c r="D21" i="9"/>
  <c r="D22" i="9"/>
  <c r="D24" i="9"/>
  <c r="D27" i="9"/>
  <c r="D28" i="9"/>
  <c r="D29" i="9"/>
  <c r="D30" i="9"/>
  <c r="D31" i="9"/>
  <c r="D34" i="9"/>
  <c r="D35" i="9"/>
  <c r="D36" i="9"/>
  <c r="D38" i="9"/>
  <c r="D42" i="9"/>
  <c r="A43" i="1"/>
  <c r="A42" i="1"/>
  <c r="A41" i="1"/>
  <c r="A40" i="1"/>
  <c r="A39" i="1"/>
  <c r="A26" i="1"/>
  <c r="A25" i="1"/>
  <c r="A24" i="1"/>
  <c r="A23" i="1"/>
  <c r="A22" i="1"/>
  <c r="A21" i="1"/>
  <c r="A20" i="1"/>
  <c r="A19" i="1"/>
  <c r="A18" i="1"/>
  <c r="A17" i="1"/>
  <c r="A16" i="1"/>
  <c r="A13" i="1"/>
  <c r="A11" i="1"/>
  <c r="A12" i="1"/>
  <c r="A14" i="1"/>
  <c r="A15" i="1"/>
  <c r="A2" i="1"/>
  <c r="A3" i="1"/>
  <c r="A4" i="1"/>
  <c r="A5" i="1"/>
  <c r="A6" i="1"/>
  <c r="A7" i="1"/>
  <c r="A8" i="1"/>
  <c r="A9" i="1"/>
  <c r="A10" i="1"/>
  <c r="A27" i="1"/>
  <c r="A28" i="1"/>
  <c r="A29" i="1"/>
  <c r="A30" i="1"/>
  <c r="A31" i="1"/>
  <c r="A32" i="1"/>
  <c r="A33" i="1"/>
  <c r="A34" i="1"/>
  <c r="A35" i="1"/>
  <c r="A36" i="1"/>
  <c r="A37" i="1"/>
  <c r="A38" i="1"/>
  <c r="B1" i="1" l="1" a="1"/>
  <c r="B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<sst xmlns="http://schemas.openxmlformats.org/spreadsheetml/2006/main" count="423" uniqueCount="177">
  <si>
    <t>Agriculture</t>
  </si>
  <si>
    <t>Birthrate</t>
  </si>
  <si>
    <t>Corruption</t>
  </si>
  <si>
    <t>Crime</t>
  </si>
  <si>
    <t>Deathrate</t>
  </si>
  <si>
    <t>Employment</t>
  </si>
  <si>
    <t>Homelessness</t>
  </si>
  <si>
    <t>Immigration</t>
  </si>
  <si>
    <t>Infrastructure</t>
  </si>
  <si>
    <t>Innovation</t>
  </si>
  <si>
    <t>Liberty</t>
  </si>
  <si>
    <t>Mental Health</t>
  </si>
  <si>
    <t>Minimum Wage</t>
  </si>
  <si>
    <t>Pollution</t>
  </si>
  <si>
    <t>Public Trust</t>
  </si>
  <si>
    <t>Religion</t>
  </si>
  <si>
    <t>Resilience</t>
  </si>
  <si>
    <t>Taxes</t>
  </si>
  <si>
    <t>Equality</t>
  </si>
  <si>
    <t>Gun Rights</t>
  </si>
  <si>
    <t>Market Freedom</t>
  </si>
  <si>
    <t>Diversity</t>
  </si>
  <si>
    <t>Edu: Cost</t>
  </si>
  <si>
    <t>Edu: Quality</t>
  </si>
  <si>
    <t>Transportation</t>
  </si>
  <si>
    <t>Poverty</t>
  </si>
  <si>
    <t>Addiction</t>
  </si>
  <si>
    <t>Migration</t>
  </si>
  <si>
    <t>Sexual Freedom</t>
  </si>
  <si>
    <t>Purpose/Meaning</t>
  </si>
  <si>
    <t>Edu: Access</t>
  </si>
  <si>
    <t>HC Access</t>
  </si>
  <si>
    <t>HC Cost</t>
  </si>
  <si>
    <t>HC Quality</t>
  </si>
  <si>
    <t>Tech</t>
  </si>
  <si>
    <t>Cost of Living</t>
  </si>
  <si>
    <t>Energy Production</t>
  </si>
  <si>
    <t>Healthcare Access</t>
  </si>
  <si>
    <t>Healthcare Cost</t>
  </si>
  <si>
    <t>Healthcare Quality</t>
  </si>
  <si>
    <t>Healthcare</t>
  </si>
  <si>
    <t>Surveillance</t>
  </si>
  <si>
    <t>Authoritarianism</t>
  </si>
  <si>
    <t>Family Values</t>
  </si>
  <si>
    <t>Quality of Living</t>
  </si>
  <si>
    <t>Social Tension</t>
  </si>
  <si>
    <t>Societal Cohesion</t>
  </si>
  <si>
    <t>Freedom of Speech</t>
  </si>
  <si>
    <t>Welfare Support</t>
  </si>
  <si>
    <t>Sickness/Disease</t>
  </si>
  <si>
    <t>Discrimination</t>
  </si>
  <si>
    <t>CO2 Emmisions</t>
  </si>
  <si>
    <t>Composites</t>
  </si>
  <si>
    <t>Wage Gap</t>
  </si>
  <si>
    <t>Approved</t>
  </si>
  <si>
    <t>Ideas</t>
  </si>
  <si>
    <t>Capitalism</t>
  </si>
  <si>
    <t>Nihilism</t>
  </si>
  <si>
    <t>DO NOT TOUCH: COLUMN A!</t>
  </si>
  <si>
    <t>LGBTQIA+</t>
  </si>
  <si>
    <t>Creativity</t>
  </si>
  <si>
    <t>Stigma</t>
  </si>
  <si>
    <t>Climate Stability</t>
  </si>
  <si>
    <t>Expanded</t>
  </si>
  <si>
    <t>Sex Ratio</t>
  </si>
  <si>
    <t>Patriarchy</t>
  </si>
  <si>
    <t>Emigration</t>
  </si>
  <si>
    <t>src_key</t>
  </si>
  <si>
    <t>From</t>
  </si>
  <si>
    <t>To</t>
  </si>
  <si>
    <t>Weight</t>
  </si>
  <si>
    <t>Sign conf</t>
  </si>
  <si>
    <t>Mag conf</t>
  </si>
  <si>
    <t>Notes</t>
  </si>
  <si>
    <t>Shape</t>
  </si>
  <si>
    <t>Shape_params</t>
  </si>
  <si>
    <t>Tanh</t>
  </si>
  <si>
    <t>Linear</t>
  </si>
  <si>
    <t>High</t>
  </si>
  <si>
    <t>Status</t>
  </si>
  <si>
    <t>Addiction_Agriculture</t>
  </si>
  <si>
    <t>Shapes</t>
  </si>
  <si>
    <t>Sigmoid</t>
  </si>
  <si>
    <t>ReLU</t>
  </si>
  <si>
    <t>Power</t>
  </si>
  <si>
    <t>Medium</t>
  </si>
  <si>
    <t>Addiction_Authoritarianism</t>
  </si>
  <si>
    <t>Addiction_Birthrate</t>
  </si>
  <si>
    <t>Addiction_Corruption</t>
  </si>
  <si>
    <t>Addiction_Cost of Living</t>
  </si>
  <si>
    <t>Addiction_Crime</t>
  </si>
  <si>
    <t>Addiction_Deathrate</t>
  </si>
  <si>
    <t>Addiction_Discrimination</t>
  </si>
  <si>
    <t>Addiction_Diversity</t>
  </si>
  <si>
    <t>Addiction_Edu: Access</t>
  </si>
  <si>
    <t>Addiction_Edu: Cost</t>
  </si>
  <si>
    <t>Addiction_Edu: Quality</t>
  </si>
  <si>
    <t>Addiction_Employment</t>
  </si>
  <si>
    <t>Addiction_Energy Production</t>
  </si>
  <si>
    <t>Addiction_Equality</t>
  </si>
  <si>
    <t>Addiction_Family Values</t>
  </si>
  <si>
    <t>Addiction_Freedom of Speech</t>
  </si>
  <si>
    <t>Addiction_Gun Rights</t>
  </si>
  <si>
    <t>Addiction_HC Access</t>
  </si>
  <si>
    <t>Addiction_HC Cost</t>
  </si>
  <si>
    <t>Addiction_HC Quality</t>
  </si>
  <si>
    <t>Addiction_Homelessness</t>
  </si>
  <si>
    <t>Addiction_Immigration</t>
  </si>
  <si>
    <t>Addiction_Infrastructure</t>
  </si>
  <si>
    <t>Addiction_Innovation</t>
  </si>
  <si>
    <t>Addiction_Liberty</t>
  </si>
  <si>
    <t>Addiction_Market Freedom</t>
  </si>
  <si>
    <t>Addiction_Mental Health</t>
  </si>
  <si>
    <t>Addiction_Military Budget</t>
  </si>
  <si>
    <t>Addiction_Minimum Wage</t>
  </si>
  <si>
    <t>Addiction_Pollution</t>
  </si>
  <si>
    <t>Addiction_Poverty</t>
  </si>
  <si>
    <t>Addiction_Public Trust</t>
  </si>
  <si>
    <t>Addiction_Purpose/Meaning</t>
  </si>
  <si>
    <t>Addiction_Religion</t>
  </si>
  <si>
    <t>Addiction_Sickness/Disease</t>
  </si>
  <si>
    <t>Addiction_Taxes</t>
  </si>
  <si>
    <t>Addiction_Tech</t>
  </si>
  <si>
    <t>Addiction_Transportation</t>
  </si>
  <si>
    <t>Addiction_Welfare Support</t>
  </si>
  <si>
    <t>Low</t>
  </si>
  <si>
    <t xml:space="preserve">  </t>
  </si>
  <si>
    <t>Agriculture_Addiction</t>
  </si>
  <si>
    <t>Agriculture_Authoritarianism</t>
  </si>
  <si>
    <t>Agriculture_Birthrate</t>
  </si>
  <si>
    <t>Agriculture_Corruption</t>
  </si>
  <si>
    <t>Agriculture_Cost of Living</t>
  </si>
  <si>
    <t>Agriculture_Crime</t>
  </si>
  <si>
    <t>Agriculture_Deathrate</t>
  </si>
  <si>
    <t>Agriculture_Discrimination</t>
  </si>
  <si>
    <t>Agriculture_Diversity</t>
  </si>
  <si>
    <t>Agriculture_Edu: Access</t>
  </si>
  <si>
    <t>Agriculture_Edu: Cost</t>
  </si>
  <si>
    <t>Agriculture_Edu: Quality</t>
  </si>
  <si>
    <t>Agriculture_Employment</t>
  </si>
  <si>
    <t>Agriculture_Energy Production</t>
  </si>
  <si>
    <t>Agriculture_Equality</t>
  </si>
  <si>
    <t>Agriculture_Family Values</t>
  </si>
  <si>
    <t>Agriculture_Freedom of Speech</t>
  </si>
  <si>
    <t>Agriculture_Gun Rights</t>
  </si>
  <si>
    <t>Agriculture_HC Access</t>
  </si>
  <si>
    <t>Agriculture_HC Cost</t>
  </si>
  <si>
    <t>Agriculture_HC Quality</t>
  </si>
  <si>
    <t>Agriculture_Homelessness</t>
  </si>
  <si>
    <t>Agriculture_Immigration</t>
  </si>
  <si>
    <t>Agriculture_Infrastructure</t>
  </si>
  <si>
    <t>Agriculture_Innovation</t>
  </si>
  <si>
    <t>Addiction_Law Enforcement</t>
  </si>
  <si>
    <t>Agriculture_Law Enforcement</t>
  </si>
  <si>
    <t>Law Enforcement</t>
  </si>
  <si>
    <t>Agriculture_Liberty</t>
  </si>
  <si>
    <t>Agriculture_Market Freedom</t>
  </si>
  <si>
    <t>Agriculture_Mental Health</t>
  </si>
  <si>
    <t>Agriculture_Military Budget</t>
  </si>
  <si>
    <t>Agriculture_Minimum Wage</t>
  </si>
  <si>
    <t>Agriculture_Pollution</t>
  </si>
  <si>
    <t>Agriculture_Poverty</t>
  </si>
  <si>
    <t>Agriculture_Public Trust</t>
  </si>
  <si>
    <t>Agriculture_Purpose/Meaning</t>
  </si>
  <si>
    <t>Agriculture_Religion</t>
  </si>
  <si>
    <t>Agriculture_Sickness/Disease</t>
  </si>
  <si>
    <t>Agriculture_Taxes</t>
  </si>
  <si>
    <t>Agriculture_Tech</t>
  </si>
  <si>
    <t>Agriculture_Transportation</t>
  </si>
  <si>
    <t>Agriculture_Welfare Support</t>
  </si>
  <si>
    <t>Military</t>
  </si>
  <si>
    <t>Religion needs to be changed to "Theism" or "Spirituality"</t>
  </si>
  <si>
    <t>War</t>
  </si>
  <si>
    <t>Anarchy</t>
  </si>
  <si>
    <t>Utopia</t>
  </si>
  <si>
    <t>Civil War</t>
  </si>
  <si>
    <t>Civil Unrest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</si>
</sst>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name val="Times New Roman"/>
      <family val="1"/>
    </font>
    <font>
      <i/>
      <sz val="11"/>
      <color theme="1"/>
      <name val="Aptos Narrow"/>
      <family val="2"/>
      <scheme val="minor"/>
    </font>
    <font>
      <b/>
      <sz val="11"/>
      <color theme="1"/>
      <name val="Aptos Narrow"/>
      <family val="2"/>
      <scheme val="minor"/>
    </font>
    <font>
      <sz val="11"/>
      <name val="Aptos Narrow"/>
      <family val="2"/>
      <scheme val="minor"/>
    </font>
    <font>
      <sz val="10"/>
      <name val="Bahnschrift SemiLight Condensed"/>
      <family val="2"/>
    </font>
    <font>
      <sz val="10"/>
      <name val="Bahnschrift SemiLight SemiConde"/>
      <family val="2"/>
    </font>
    <font>
      <b/>
      <sz val="13"/>
      <color theme="3"/>
      <name val="Aptos Narrow"/>
      <family val="2"/>
      <scheme val="minor"/>
    </font>
    <font>
      <b/>
      <sz val="13"/>
      <color rgb="FFFF0000"/>
      <name val="Aptos Narrow"/>
      <family val="2"/>
      <scheme val="minor"/>
    </font>
  </fonts>
  <fills count="11">
    <fill>
      <patternFill patternType="none"/>
    </fill>
    <fill>
      <patternFill patternType="gray125"/>
    </fill>
    <fill>
      <patternFill patternType="solid">
        <fgColor theme="1" tint="0.49998474074526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CD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medium">
        <color indexed="6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slantDashDot">
        <color rgb="FFC00000"/>
      </left>
      <right/>
      <top style="slantDashDot">
        <color rgb="FFC00000"/>
      </top>
      <bottom style="thick">
        <color theme="4" tint="0.499984740745262"/>
      </bottom>
      <diagonal/>
    </border>
    <border>
      <left/>
      <right style="slantDashDot">
        <color rgb="FFC00000"/>
      </right>
      <top style="slantDashDot">
        <color rgb="FFC00000"/>
      </top>
      <bottom style="thick">
        <color theme="4" tint="0.499984740745262"/>
      </bottom>
      <diagonal/>
    </border>
    <border>
      <left style="slantDashDot">
        <color rgb="FFC00000"/>
      </left>
      <right/>
      <top/>
      <bottom style="thick">
        <color theme="4" tint="0.499984740745262"/>
      </bottom>
      <diagonal/>
    </border>
    <border>
      <left/>
      <right style="slantDashDot">
        <color rgb="FFC00000"/>
      </right>
      <top/>
      <bottom style="thick">
        <color theme="4" tint="0.499984740745262"/>
      </bottom>
      <diagonal/>
    </border>
    <border>
      <left style="slantDashDot">
        <color rgb="FFC00000"/>
      </left>
      <right/>
      <top/>
      <bottom style="slantDashDot">
        <color rgb="FFC00000"/>
      </bottom>
      <diagonal/>
    </border>
    <border>
      <left/>
      <right style="slantDashDot">
        <color rgb="FFC00000"/>
      </right>
      <top/>
      <bottom style="slantDashDot">
        <color rgb="FFC00000"/>
      </bottom>
      <diagonal/>
    </border>
    <border>
      <left style="slantDashDot">
        <color rgb="FFC00000"/>
      </left>
      <right style="slantDashDot">
        <color rgb="FFC00000"/>
      </right>
      <top style="slantDashDot">
        <color rgb="FFC00000"/>
      </top>
      <bottom/>
      <diagonal/>
    </border>
    <border>
      <left style="slantDashDot">
        <color rgb="FFC00000"/>
      </left>
      <right style="slantDashDot">
        <color rgb="FFC00000"/>
      </right>
      <top/>
      <bottom/>
      <diagonal/>
    </border>
    <border>
      <left style="slantDashDot">
        <color rgb="FFC00000"/>
      </left>
      <right style="slantDashDot">
        <color rgb="FFC00000"/>
      </right>
      <top/>
      <bottom style="slantDashDot">
        <color rgb="FFC00000"/>
      </bottom>
      <diagonal/>
    </border>
    <border>
      <left style="slantDashDot">
        <color rgb="FFC00000"/>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slantDashDot">
        <color rgb="FFC00000"/>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7" fillId="0" borderId="12" applyNumberFormat="0" applyFill="0" applyAlignment="0" applyProtection="0"/>
  </cellStyleXfs>
  <cellXfs count="69">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 fillId="2" borderId="2"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0" fillId="0" borderId="13" xfId="0" applyBorder="1" applyAlignment="1">
      <alignment horizontal="center" vertical="center"/>
    </xf>
    <xf numFmtId="0" fontId="0" fillId="4" borderId="14" xfId="0" applyFill="1" applyBorder="1" applyAlignment="1">
      <alignment horizontal="center" vertical="center"/>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4" xfId="0" applyBorder="1" applyAlignment="1">
      <alignment horizontal="center" vertical="center"/>
    </xf>
    <xf numFmtId="0" fontId="0" fillId="0" borderId="25" xfId="0" applyBorder="1" applyAlignment="1">
      <alignment horizontal="center" vertical="center"/>
    </xf>
    <xf numFmtId="0" fontId="1" fillId="5" borderId="32" xfId="0" applyFont="1" applyFill="1" applyBorder="1" applyAlignment="1">
      <alignment horizontal="center" vertical="center"/>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3" fillId="0" borderId="13" xfId="0" applyFont="1" applyBorder="1" applyAlignment="1">
      <alignment horizontal="center" vertical="center"/>
    </xf>
    <xf numFmtId="2" fontId="3" fillId="0" borderId="3" xfId="0" applyNumberFormat="1" applyFont="1" applyBorder="1" applyAlignment="1">
      <alignment horizontal="center" vertical="center"/>
    </xf>
    <xf numFmtId="2" fontId="3" fillId="0" borderId="8" xfId="0" applyNumberFormat="1" applyFont="1" applyBorder="1" applyAlignment="1">
      <alignment horizontal="center" vertical="center"/>
    </xf>
    <xf numFmtId="2" fontId="3" fillId="0" borderId="1" xfId="0" applyNumberFormat="1" applyFont="1" applyBorder="1" applyAlignment="1">
      <alignment horizontal="center" vertical="center"/>
    </xf>
    <xf numFmtId="2" fontId="3" fillId="0" borderId="15" xfId="0" applyNumberFormat="1" applyFont="1" applyBorder="1" applyAlignment="1">
      <alignment horizontal="center" vertical="center"/>
    </xf>
    <xf numFmtId="2" fontId="0" fillId="0" borderId="7" xfId="0" applyNumberFormat="1" applyBorder="1" applyAlignment="1">
      <alignment horizontal="center" vertical="center"/>
    </xf>
    <xf numFmtId="2" fontId="0" fillId="0" borderId="3" xfId="0" applyNumberFormat="1" applyBorder="1" applyAlignment="1">
      <alignment horizontal="center" vertical="center"/>
    </xf>
    <xf numFmtId="2" fontId="0" fillId="0" borderId="0" xfId="0" applyNumberFormat="1"/>
    <xf numFmtId="2" fontId="0" fillId="0" borderId="1" xfId="0" applyNumberFormat="1" applyBorder="1" applyAlignment="1">
      <alignment horizontal="center" vertical="center"/>
    </xf>
    <xf numFmtId="0" fontId="5" fillId="3" borderId="6"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horizontal="center" vertical="center"/>
    </xf>
    <xf numFmtId="0" fontId="4" fillId="3" borderId="0" xfId="0" applyFont="1" applyFill="1" applyAlignment="1">
      <alignment horizontal="center" vertical="center"/>
    </xf>
    <xf numFmtId="0" fontId="3" fillId="0" borderId="0" xfId="0" applyFont="1" applyAlignment="1">
      <alignment horizontal="center" vertical="center"/>
    </xf>
    <xf numFmtId="0" fontId="1" fillId="0" borderId="35" xfId="0" applyFont="1" applyBorder="1" applyAlignment="1">
      <alignment horizontal="center" vertical="center"/>
    </xf>
    <xf numFmtId="0" fontId="0" fillId="0" borderId="36" xfId="0" applyBorder="1"/>
    <xf numFmtId="0" fontId="0" fillId="0" borderId="36" xfId="0" applyBorder="1" applyAlignment="1">
      <alignment horizontal="center" vertical="center"/>
    </xf>
    <xf numFmtId="0" fontId="0" fillId="0" borderId="37" xfId="0" applyBorder="1"/>
    <xf numFmtId="0" fontId="0" fillId="0" borderId="38" xfId="0" applyBorder="1"/>
    <xf numFmtId="0" fontId="0" fillId="0" borderId="38" xfId="0" applyBorder="1" applyAlignment="1">
      <alignment horizontal="center" vertical="center"/>
    </xf>
    <xf numFmtId="0" fontId="1" fillId="0" borderId="15" xfId="0" applyFont="1" applyBorder="1" applyAlignment="1">
      <alignment horizontal="center" vertical="center"/>
    </xf>
    <xf numFmtId="0" fontId="1" fillId="6" borderId="39"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8" fillId="5" borderId="26" xfId="1" applyFont="1" applyFill="1" applyBorder="1" applyAlignment="1">
      <alignment horizontal="center" vertical="center" wrapText="1"/>
    </xf>
    <xf numFmtId="0" fontId="8" fillId="5" borderId="27" xfId="1" applyFont="1" applyFill="1" applyBorder="1" applyAlignment="1">
      <alignment horizontal="center" vertical="center" wrapText="1"/>
    </xf>
    <xf numFmtId="0" fontId="8" fillId="5" borderId="28" xfId="1" applyFont="1" applyFill="1" applyBorder="1" applyAlignment="1">
      <alignment horizontal="center" vertical="center" wrapText="1"/>
    </xf>
    <xf numFmtId="0" fontId="8" fillId="5" borderId="29" xfId="1" applyFont="1" applyFill="1" applyBorder="1" applyAlignment="1">
      <alignment horizontal="center" vertical="center" wrapText="1"/>
    </xf>
    <xf numFmtId="0" fontId="8" fillId="5" borderId="30" xfId="1" applyFont="1" applyFill="1" applyBorder="1" applyAlignment="1">
      <alignment horizontal="center" vertical="center" wrapText="1"/>
    </xf>
    <xf numFmtId="0" fontId="8" fillId="5" borderId="31" xfId="1" applyFont="1" applyFill="1" applyBorder="1" applyAlignment="1">
      <alignment horizontal="center" vertical="center" wrapText="1"/>
    </xf>
    <xf numFmtId="0" fontId="0" fillId="6" borderId="0" xfId="0" applyFill="1" applyAlignment="1">
      <alignment horizontal="center" vertical="center"/>
    </xf>
    <xf numFmtId="2" fontId="3" fillId="0" borderId="0" xfId="0" applyNumberFormat="1" applyFont="1" applyAlignment="1">
      <alignment horizontal="center" vertical="center"/>
    </xf>
    <xf numFmtId="0" fontId="0" fillId="7" borderId="40" xfId="0" applyFill="1" applyBorder="1"/>
    <xf numFmtId="0" fontId="0" fillId="7" borderId="41" xfId="0" applyFill="1" applyBorder="1"/>
    <xf numFmtId="0" fontId="0" fillId="7" borderId="16" xfId="0" applyFill="1" applyBorder="1"/>
    <xf numFmtId="0" fontId="0" fillId="7" borderId="17" xfId="0" applyFill="1" applyBorder="1"/>
    <xf numFmtId="0" fontId="0" fillId="7" borderId="18" xfId="0" applyFill="1" applyBorder="1"/>
    <xf numFmtId="0" fontId="0" fillId="7" borderId="20" xfId="0" applyFill="1" applyBorder="1"/>
    <xf numFmtId="0" fontId="0" fillId="8" borderId="21" xfId="0" applyFill="1" applyBorder="1" applyAlignment="1">
      <alignment horizontal="center"/>
    </xf>
    <xf numFmtId="0" fontId="0" fillId="8" borderId="23" xfId="0" applyFill="1" applyBorder="1" applyAlignment="1">
      <alignment horizontal="center"/>
    </xf>
    <xf numFmtId="0" fontId="0" fillId="10" borderId="13" xfId="0" applyFill="1" applyBorder="1"/>
    <xf numFmtId="0" fontId="0" fillId="10" borderId="24" xfId="0" applyFill="1" applyBorder="1"/>
    <xf numFmtId="0" fontId="0" fillId="10" borderId="25" xfId="0" applyFill="1" applyBorder="1"/>
    <xf numFmtId="0" fontId="0" fillId="9" borderId="2" xfId="0" applyFill="1" applyBorder="1" applyAlignment="1">
      <alignment horizontal="center"/>
    </xf>
  </cellXfs>
  <cellStyles count="2">
    <cellStyle name="Heading 2" xfId="1" builtinId="17"/>
    <cellStyle name="Normal" xfId="0" builtinId="0"/>
  </cellStyles>
  <dxfs count="4">
    <dxf>
      <font>
        <b/>
      </font>
      <alignment horizontal="center" vertical="center" textRotation="0" wrapText="0" indent="0" justifyLastLine="0" shrinkToFit="0" readingOrder="0"/>
    </dxf>
    <dxf>
      <border outline="0">
        <top style="thin">
          <color indexed="64"/>
        </top>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C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07007-CF32-4072-9FB7-7A5FF0672BAF}" name="Table1" displayName="Table1" ref="A1:J83" totalsRowShown="0" headerRowDxfId="3" headerRowBorderDxfId="2" tableBorderDxfId="1">
  <autoFilter ref="A1:J83" xr:uid="{47207007-CF32-4072-9FB7-7A5FF0672BAF}"/>
  <sortState xmlns:xlrd2="http://schemas.microsoft.com/office/spreadsheetml/2017/richdata2" ref="A2:J42">
    <sortCondition ref="C1:C42"/>
  </sortState>
  <tableColumns count="10">
    <tableColumn id="1" xr3:uid="{A4F174B5-512B-4696-B4B9-5C133E62A934}" name="src_key"/>
    <tableColumn id="2" xr3:uid="{799D566E-CE86-4D70-A5C5-D49B9E3A2BDE}" name="From"/>
    <tableColumn id="3" xr3:uid="{07A5D612-AA07-47DB-9926-10AD24CAEB76}" name="To"/>
    <tableColumn id="4" xr3:uid="{72893F97-7A92-4D42-8C21-ABBA881DD580}" name="Weight" dataDxfId="0">
      <calculatedColumnFormula>'Influence Matrix'!B3</calculatedColumnFormula>
    </tableColumn>
    <tableColumn id="5" xr3:uid="{5B309237-FB40-49EE-954D-97AAE5C2530C}" name="Shape"/>
    <tableColumn id="6" xr3:uid="{4DD227F6-F11C-4E0D-8C34-2D61665C0A4F}" name="Shape_params"/>
    <tableColumn id="7" xr3:uid="{0042F45F-3222-4C35-B643-34E87E3EA331}" name="Sign conf"/>
    <tableColumn id="8" xr3:uid="{6C756152-8CE3-4746-A6A4-87253C97E3BA}" name="Mag conf"/>
    <tableColumn id="9" xr3:uid="{8A67A5BE-A5A9-4491-947F-0C8EDDD32E31}" name="Status"/>
    <tableColumn id="10" xr3:uid="{F212D3FB-283F-4387-9A26-E14C8BB5FB62}"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39C8-B3C6-46D2-B123-D33FD2398F37}">
  <dimension ref="A1:BB91"/>
  <sheetViews>
    <sheetView showGridLines="0" tabSelected="1" view="pageBreakPreview" zoomScale="70" zoomScaleNormal="115" zoomScaleSheetLayoutView="70" zoomScalePageLayoutView="40" workbookViewId="0">
      <selection activeCell="Q10" sqref="Q10"/>
    </sheetView>
  </sheetViews>
  <sheetFormatPr defaultColWidth="11.140625" defaultRowHeight="17.100000000000001" customHeight="1" x14ac:dyDescent="0.25"/>
  <cols>
    <col min="1" max="1" width="15.140625" bestFit="1" customWidth="1"/>
  </cols>
  <sheetData>
    <row r="1" spans="1:54" s="36" customFormat="1" ht="17.100000000000001" customHeight="1" thickBot="1" x14ac:dyDescent="0.3">
      <c r="A1" s="6"/>
      <c r="B1" s="31" t="str" cm="1">
        <f t="array" ref="B1:AQ1">TRANSPOSE(A2:A43)</f>
        <v>Addiction</v>
      </c>
      <c r="C1" s="32" t="str">
        <v>Agriculture</v>
      </c>
      <c r="D1" s="32" t="str">
        <v>Authoritarianism</v>
      </c>
      <c r="E1" s="32" t="str">
        <v>Birthrate</v>
      </c>
      <c r="F1" s="32" t="str">
        <v>Corruption</v>
      </c>
      <c r="G1" s="32" t="str">
        <v>Cost of Living</v>
      </c>
      <c r="H1" s="32" t="str">
        <v>Crime</v>
      </c>
      <c r="I1" s="32" t="str">
        <v>Deathrate</v>
      </c>
      <c r="J1" s="32" t="str">
        <v>Discrimination</v>
      </c>
      <c r="K1" s="32" t="str">
        <v>Diversity</v>
      </c>
      <c r="L1" s="32" t="str">
        <v>Edu: Access</v>
      </c>
      <c r="M1" s="32" t="str">
        <v>Edu: Cost</v>
      </c>
      <c r="N1" s="32" t="str">
        <v>Edu: Quality</v>
      </c>
      <c r="O1" s="32" t="str">
        <v>Employment</v>
      </c>
      <c r="P1" s="32" t="str">
        <v>Energy Production</v>
      </c>
      <c r="Q1" s="32" t="str">
        <v>Equality</v>
      </c>
      <c r="R1" s="32" t="str">
        <v>Family Values</v>
      </c>
      <c r="S1" s="32" t="str">
        <v>Freedom of Speech</v>
      </c>
      <c r="T1" s="32" t="str">
        <v>Gun Rights</v>
      </c>
      <c r="U1" s="32" t="str">
        <v>HC Access</v>
      </c>
      <c r="V1" s="32" t="str">
        <v>HC Cost</v>
      </c>
      <c r="W1" s="32" t="str">
        <v>HC Quality</v>
      </c>
      <c r="X1" s="32" t="str">
        <v>Homelessness</v>
      </c>
      <c r="Y1" s="32" t="str">
        <v>Immigration</v>
      </c>
      <c r="Z1" s="32" t="str">
        <v>Infrastructure</v>
      </c>
      <c r="AA1" s="32" t="str">
        <v>Innovation</v>
      </c>
      <c r="AB1" s="32" t="str">
        <v>Law Enforcement</v>
      </c>
      <c r="AC1" s="32" t="str">
        <v>Liberty</v>
      </c>
      <c r="AD1" s="32" t="str">
        <v>Market Freedom</v>
      </c>
      <c r="AE1" s="32" t="str">
        <v>Mental Health</v>
      </c>
      <c r="AF1" s="32" t="str">
        <v>Military</v>
      </c>
      <c r="AG1" s="32" t="str">
        <v>Minimum Wage</v>
      </c>
      <c r="AH1" s="32" t="str">
        <v>Pollution</v>
      </c>
      <c r="AI1" s="32" t="str">
        <v>Poverty</v>
      </c>
      <c r="AJ1" s="32" t="str">
        <v>Public Trust</v>
      </c>
      <c r="AK1" s="32" t="str">
        <v>Purpose/Meaning</v>
      </c>
      <c r="AL1" s="32" t="str">
        <v>Religion</v>
      </c>
      <c r="AM1" s="32" t="str">
        <v>Sickness/Disease</v>
      </c>
      <c r="AN1" s="32" t="str">
        <v>Taxes</v>
      </c>
      <c r="AO1" s="32" t="str">
        <v>Tech</v>
      </c>
      <c r="AP1" s="33" t="str">
        <v>Transportation</v>
      </c>
      <c r="AQ1" s="34" t="str">
        <v>Welfare Support</v>
      </c>
      <c r="AR1" s="1"/>
      <c r="AS1" s="1"/>
      <c r="AT1" s="1"/>
      <c r="AU1" s="1"/>
      <c r="AV1" s="1"/>
      <c r="AW1" s="1"/>
      <c r="AX1" s="1"/>
      <c r="AY1" s="1"/>
      <c r="AZ1" s="1"/>
      <c r="BA1" s="1"/>
      <c r="BB1" s="35"/>
    </row>
    <row r="2" spans="1:54" ht="17.100000000000001" customHeight="1" thickBot="1" x14ac:dyDescent="0.3">
      <c r="A2" s="7" t="str">
        <f>Sliders!A1</f>
        <v>Addiction</v>
      </c>
      <c r="B2" s="27">
        <v>1</v>
      </c>
      <c r="C2" s="23">
        <v>0.05</v>
      </c>
      <c r="D2" s="23">
        <v>0.08</v>
      </c>
      <c r="E2" s="23">
        <v>0</v>
      </c>
      <c r="F2" s="23">
        <v>0</v>
      </c>
      <c r="G2" s="23">
        <v>0</v>
      </c>
      <c r="H2" s="23">
        <v>0.21</v>
      </c>
      <c r="I2" s="23">
        <v>0</v>
      </c>
      <c r="J2" s="23">
        <v>0.15</v>
      </c>
      <c r="K2" s="23">
        <v>0</v>
      </c>
      <c r="L2" s="23">
        <v>-0.12</v>
      </c>
      <c r="M2" s="23">
        <v>0.1</v>
      </c>
      <c r="N2" s="23">
        <v>-0.14000000000000001</v>
      </c>
      <c r="O2" s="23">
        <v>-0.17</v>
      </c>
      <c r="P2" s="23">
        <v>0</v>
      </c>
      <c r="Q2" s="23">
        <v>0</v>
      </c>
      <c r="R2" s="28">
        <v>0</v>
      </c>
      <c r="S2" s="28">
        <v>0</v>
      </c>
      <c r="T2" s="28">
        <v>0</v>
      </c>
      <c r="U2" s="28">
        <v>0</v>
      </c>
      <c r="V2" s="28">
        <v>0</v>
      </c>
      <c r="W2" s="28">
        <v>0</v>
      </c>
      <c r="X2" s="28">
        <v>0</v>
      </c>
      <c r="Y2" s="28">
        <v>0</v>
      </c>
      <c r="Z2" s="28">
        <v>0</v>
      </c>
      <c r="AA2" s="28">
        <v>0</v>
      </c>
      <c r="AB2" s="28">
        <v>0</v>
      </c>
      <c r="AC2" s="28">
        <v>0</v>
      </c>
      <c r="AD2" s="28">
        <v>0</v>
      </c>
      <c r="AE2" s="28">
        <v>0</v>
      </c>
      <c r="AF2" s="28">
        <v>0</v>
      </c>
      <c r="AG2" s="28">
        <v>0</v>
      </c>
      <c r="AH2" s="28">
        <v>0</v>
      </c>
      <c r="AI2" s="28">
        <v>0</v>
      </c>
      <c r="AJ2" s="28">
        <v>0</v>
      </c>
      <c r="AK2" s="28">
        <v>0</v>
      </c>
      <c r="AL2" s="28">
        <v>0</v>
      </c>
      <c r="AM2" s="28">
        <v>0</v>
      </c>
      <c r="AN2" s="28">
        <v>0</v>
      </c>
      <c r="AO2" s="28">
        <v>0</v>
      </c>
      <c r="AP2" s="28">
        <v>0</v>
      </c>
      <c r="AQ2" s="28">
        <v>0</v>
      </c>
      <c r="AR2" s="2"/>
      <c r="AS2" s="2"/>
      <c r="AT2" s="2"/>
      <c r="AU2" s="2"/>
      <c r="AV2" s="2"/>
      <c r="AW2" s="2"/>
      <c r="AX2" s="2"/>
      <c r="AY2" s="2"/>
      <c r="AZ2" s="2"/>
      <c r="BA2" s="2"/>
    </row>
    <row r="3" spans="1:54" ht="17.100000000000001" customHeight="1" thickTop="1" thickBot="1" x14ac:dyDescent="0.3">
      <c r="A3" s="8" t="str">
        <f>Sliders!A2</f>
        <v>Agriculture</v>
      </c>
      <c r="B3" s="24">
        <v>-0.08</v>
      </c>
      <c r="C3" s="29">
        <v>1</v>
      </c>
      <c r="D3" s="25">
        <v>-0.15</v>
      </c>
      <c r="E3" s="25">
        <v>0.05</v>
      </c>
      <c r="F3" s="25">
        <v>-0.1</v>
      </c>
      <c r="G3" s="25">
        <v>0</v>
      </c>
      <c r="H3" s="25">
        <v>-0.16</v>
      </c>
      <c r="I3" s="25">
        <v>0</v>
      </c>
      <c r="J3" s="25">
        <v>-0.21</v>
      </c>
      <c r="K3" s="25">
        <v>0</v>
      </c>
      <c r="L3" s="25">
        <v>0.16</v>
      </c>
      <c r="M3" s="25">
        <v>0</v>
      </c>
      <c r="N3" s="25">
        <v>0.23</v>
      </c>
      <c r="O3" s="25">
        <v>0.14000000000000001</v>
      </c>
      <c r="P3" s="25">
        <v>0.33</v>
      </c>
      <c r="Q3" s="25">
        <v>0.1</v>
      </c>
      <c r="R3" s="30">
        <v>0</v>
      </c>
      <c r="S3" s="30">
        <v>0</v>
      </c>
      <c r="T3" s="30">
        <v>0</v>
      </c>
      <c r="U3" s="30">
        <v>0</v>
      </c>
      <c r="V3" s="30">
        <v>0</v>
      </c>
      <c r="W3" s="30">
        <v>0</v>
      </c>
      <c r="X3" s="30">
        <v>0</v>
      </c>
      <c r="Y3" s="30">
        <v>0</v>
      </c>
      <c r="Z3" s="30">
        <v>0</v>
      </c>
      <c r="AA3" s="30">
        <v>0</v>
      </c>
      <c r="AB3" s="30">
        <v>0</v>
      </c>
      <c r="AC3" s="30">
        <v>0</v>
      </c>
      <c r="AD3" s="30">
        <v>0</v>
      </c>
      <c r="AE3" s="30">
        <v>0</v>
      </c>
      <c r="AF3" s="30">
        <v>0</v>
      </c>
      <c r="AG3" s="30">
        <v>0</v>
      </c>
      <c r="AH3" s="30">
        <v>0</v>
      </c>
      <c r="AI3" s="30">
        <v>0</v>
      </c>
      <c r="AJ3" s="30">
        <v>0</v>
      </c>
      <c r="AK3" s="30">
        <v>0</v>
      </c>
      <c r="AL3" s="30">
        <v>0</v>
      </c>
      <c r="AM3" s="30">
        <v>0</v>
      </c>
      <c r="AN3" s="30">
        <v>0</v>
      </c>
      <c r="AO3" s="30">
        <v>0</v>
      </c>
      <c r="AP3" s="30">
        <v>0</v>
      </c>
      <c r="AQ3" s="30">
        <v>0</v>
      </c>
      <c r="AR3" s="2"/>
      <c r="AS3" s="2"/>
      <c r="AT3" s="2"/>
      <c r="AU3" s="2"/>
      <c r="AV3" s="2"/>
      <c r="AW3" s="2"/>
      <c r="AX3" s="2"/>
      <c r="AY3" s="2"/>
      <c r="AZ3" s="2"/>
      <c r="BA3" s="2"/>
    </row>
    <row r="4" spans="1:54" ht="17.100000000000001" customHeight="1" thickTop="1" thickBot="1" x14ac:dyDescent="0.3">
      <c r="A4" s="8" t="str">
        <f>Sliders!A3</f>
        <v>Authoritarianism</v>
      </c>
      <c r="B4" s="24">
        <v>0</v>
      </c>
      <c r="C4" s="25">
        <v>0.14000000000000001</v>
      </c>
      <c r="D4" s="30">
        <v>1</v>
      </c>
      <c r="E4" s="25">
        <v>0</v>
      </c>
      <c r="F4" s="25">
        <v>0.16</v>
      </c>
      <c r="G4" s="25">
        <v>0</v>
      </c>
      <c r="H4" s="25">
        <v>0.11</v>
      </c>
      <c r="I4" s="25">
        <v>0</v>
      </c>
      <c r="J4" s="25">
        <v>0.02</v>
      </c>
      <c r="K4" s="25">
        <v>0</v>
      </c>
      <c r="L4" s="25">
        <v>-0.11</v>
      </c>
      <c r="M4" s="25">
        <v>0</v>
      </c>
      <c r="N4" s="25">
        <v>-0.18</v>
      </c>
      <c r="O4" s="25">
        <v>0</v>
      </c>
      <c r="P4" s="25">
        <v>0.03</v>
      </c>
      <c r="Q4" s="25">
        <v>0</v>
      </c>
      <c r="R4" s="30">
        <v>0</v>
      </c>
      <c r="S4" s="30">
        <v>0</v>
      </c>
      <c r="T4" s="30">
        <v>0</v>
      </c>
      <c r="U4" s="30">
        <v>0</v>
      </c>
      <c r="V4" s="30">
        <v>0</v>
      </c>
      <c r="W4" s="30">
        <v>0</v>
      </c>
      <c r="X4" s="30">
        <v>0</v>
      </c>
      <c r="Y4" s="30">
        <v>0</v>
      </c>
      <c r="Z4" s="30">
        <v>0</v>
      </c>
      <c r="AA4" s="30">
        <v>0</v>
      </c>
      <c r="AB4" s="30">
        <v>0</v>
      </c>
      <c r="AC4" s="30">
        <v>0</v>
      </c>
      <c r="AD4" s="30">
        <v>0</v>
      </c>
      <c r="AE4" s="30">
        <v>0</v>
      </c>
      <c r="AF4" s="30">
        <v>0</v>
      </c>
      <c r="AG4" s="30">
        <v>0</v>
      </c>
      <c r="AH4" s="30">
        <v>0</v>
      </c>
      <c r="AI4" s="30">
        <v>0</v>
      </c>
      <c r="AJ4" s="30">
        <v>0</v>
      </c>
      <c r="AK4" s="30">
        <v>0</v>
      </c>
      <c r="AL4" s="30">
        <v>0</v>
      </c>
      <c r="AM4" s="30">
        <v>0</v>
      </c>
      <c r="AN4" s="30">
        <v>0</v>
      </c>
      <c r="AO4" s="30">
        <v>0</v>
      </c>
      <c r="AP4" s="30">
        <v>0</v>
      </c>
      <c r="AQ4" s="30">
        <v>0</v>
      </c>
      <c r="AR4" s="2"/>
      <c r="AS4" s="2"/>
      <c r="AT4" s="2"/>
      <c r="AU4" s="2"/>
      <c r="AV4" s="2"/>
      <c r="AW4" s="2"/>
      <c r="AX4" s="2"/>
      <c r="AY4" s="2"/>
      <c r="AZ4" s="2"/>
      <c r="BA4" s="2"/>
    </row>
    <row r="5" spans="1:54" ht="17.100000000000001" customHeight="1" thickTop="1" thickBot="1" x14ac:dyDescent="0.3">
      <c r="A5" s="8" t="str">
        <f>Sliders!A4</f>
        <v>Birthrate</v>
      </c>
      <c r="B5" s="25">
        <v>-0.16</v>
      </c>
      <c r="C5" s="24">
        <v>0.13</v>
      </c>
      <c r="D5" s="25">
        <v>0</v>
      </c>
      <c r="E5" s="30">
        <v>1</v>
      </c>
      <c r="F5" s="25">
        <v>0</v>
      </c>
      <c r="G5" s="25">
        <v>-0.13</v>
      </c>
      <c r="H5" s="25">
        <v>-0.15</v>
      </c>
      <c r="I5" s="25">
        <v>0</v>
      </c>
      <c r="J5" s="25">
        <v>-0.12</v>
      </c>
      <c r="K5" s="25">
        <v>0</v>
      </c>
      <c r="L5" s="25">
        <v>-0.1</v>
      </c>
      <c r="M5" s="25">
        <v>0</v>
      </c>
      <c r="N5" s="25">
        <v>-0.15</v>
      </c>
      <c r="O5" s="25">
        <v>0.18</v>
      </c>
      <c r="P5" s="25">
        <v>0</v>
      </c>
      <c r="Q5" s="25">
        <v>0.05</v>
      </c>
      <c r="R5" s="30">
        <v>0</v>
      </c>
      <c r="S5" s="30">
        <v>0</v>
      </c>
      <c r="T5" s="30">
        <v>0</v>
      </c>
      <c r="U5" s="30">
        <v>0</v>
      </c>
      <c r="V5" s="30">
        <v>0</v>
      </c>
      <c r="W5" s="30">
        <v>0</v>
      </c>
      <c r="X5" s="30">
        <v>0</v>
      </c>
      <c r="Y5" s="30">
        <v>0</v>
      </c>
      <c r="Z5" s="30">
        <v>0</v>
      </c>
      <c r="AA5" s="30">
        <v>0</v>
      </c>
      <c r="AB5" s="30">
        <v>0</v>
      </c>
      <c r="AC5" s="30">
        <v>0</v>
      </c>
      <c r="AD5" s="30">
        <v>0</v>
      </c>
      <c r="AE5" s="30">
        <v>0</v>
      </c>
      <c r="AF5" s="30">
        <v>0</v>
      </c>
      <c r="AG5" s="30">
        <v>0</v>
      </c>
      <c r="AH5" s="30">
        <v>0</v>
      </c>
      <c r="AI5" s="30">
        <v>0</v>
      </c>
      <c r="AJ5" s="30">
        <v>0</v>
      </c>
      <c r="AK5" s="30">
        <v>0</v>
      </c>
      <c r="AL5" s="30">
        <v>0</v>
      </c>
      <c r="AM5" s="30">
        <v>0</v>
      </c>
      <c r="AN5" s="30">
        <v>0</v>
      </c>
      <c r="AO5" s="30">
        <v>0</v>
      </c>
      <c r="AP5" s="30">
        <v>0</v>
      </c>
      <c r="AQ5" s="30">
        <v>0</v>
      </c>
      <c r="AR5" s="2"/>
      <c r="AS5" s="2"/>
      <c r="AT5" s="2"/>
      <c r="AU5" s="2"/>
      <c r="AV5" s="2"/>
      <c r="AW5" s="2"/>
      <c r="AX5" s="2"/>
      <c r="AY5" s="2"/>
      <c r="AZ5" s="2"/>
      <c r="BA5" s="2"/>
    </row>
    <row r="6" spans="1:54" ht="17.100000000000001" customHeight="1" thickTop="1" thickBot="1" x14ac:dyDescent="0.3">
      <c r="A6" s="8" t="str">
        <f>Sliders!A5</f>
        <v>Corruption</v>
      </c>
      <c r="B6" s="23">
        <v>0</v>
      </c>
      <c r="C6" s="24">
        <v>0</v>
      </c>
      <c r="D6" s="23">
        <v>0.3</v>
      </c>
      <c r="E6" s="23">
        <v>0</v>
      </c>
      <c r="F6" s="30">
        <v>1</v>
      </c>
      <c r="G6" s="25">
        <v>0</v>
      </c>
      <c r="H6" s="25">
        <v>0.33</v>
      </c>
      <c r="I6" s="25">
        <v>0</v>
      </c>
      <c r="J6" s="25">
        <v>0.1</v>
      </c>
      <c r="K6" s="25">
        <v>0</v>
      </c>
      <c r="L6" s="25">
        <v>-0.09</v>
      </c>
      <c r="M6" s="25">
        <v>0</v>
      </c>
      <c r="N6" s="25">
        <v>-0.13</v>
      </c>
      <c r="O6" s="25">
        <v>0</v>
      </c>
      <c r="P6" s="25">
        <v>0.05</v>
      </c>
      <c r="Q6" s="25">
        <v>-0.23</v>
      </c>
      <c r="R6" s="30">
        <v>0</v>
      </c>
      <c r="S6" s="30">
        <v>0</v>
      </c>
      <c r="T6" s="30">
        <v>0</v>
      </c>
      <c r="U6" s="30">
        <v>0</v>
      </c>
      <c r="V6" s="30">
        <v>0</v>
      </c>
      <c r="W6" s="30">
        <v>0</v>
      </c>
      <c r="X6" s="30">
        <v>0</v>
      </c>
      <c r="Y6" s="30">
        <v>0</v>
      </c>
      <c r="Z6" s="30">
        <v>0</v>
      </c>
      <c r="AA6" s="30">
        <v>0</v>
      </c>
      <c r="AB6" s="30">
        <v>0</v>
      </c>
      <c r="AC6" s="30">
        <v>0</v>
      </c>
      <c r="AD6" s="30">
        <v>0</v>
      </c>
      <c r="AE6" s="30">
        <v>0</v>
      </c>
      <c r="AF6" s="30">
        <v>0</v>
      </c>
      <c r="AG6" s="30">
        <v>0</v>
      </c>
      <c r="AH6" s="30">
        <v>0</v>
      </c>
      <c r="AI6" s="30">
        <v>0</v>
      </c>
      <c r="AJ6" s="30">
        <v>0</v>
      </c>
      <c r="AK6" s="30">
        <v>0</v>
      </c>
      <c r="AL6" s="30">
        <v>0</v>
      </c>
      <c r="AM6" s="30">
        <v>0</v>
      </c>
      <c r="AN6" s="30">
        <v>0</v>
      </c>
      <c r="AO6" s="30">
        <v>0</v>
      </c>
      <c r="AP6" s="30">
        <v>0</v>
      </c>
      <c r="AQ6" s="30">
        <v>0</v>
      </c>
      <c r="AR6" s="2"/>
      <c r="AS6" s="2"/>
      <c r="AT6" s="2"/>
      <c r="AU6" s="2"/>
      <c r="AV6" s="2"/>
      <c r="AW6" s="2"/>
      <c r="AX6" s="2"/>
      <c r="AY6" s="2"/>
      <c r="AZ6" s="2"/>
      <c r="BA6" s="2"/>
    </row>
    <row r="7" spans="1:54" ht="17.100000000000001" customHeight="1" thickTop="1" thickBot="1" x14ac:dyDescent="0.3">
      <c r="A7" s="8" t="str">
        <f>Sliders!A6</f>
        <v>Cost of Living</v>
      </c>
      <c r="B7" s="25">
        <v>0.19</v>
      </c>
      <c r="C7" s="24">
        <v>-0.16</v>
      </c>
      <c r="D7" s="25">
        <v>0</v>
      </c>
      <c r="E7" s="25">
        <v>0.04</v>
      </c>
      <c r="F7" s="23">
        <v>0.18</v>
      </c>
      <c r="G7" s="30">
        <v>1</v>
      </c>
      <c r="H7" s="25">
        <v>0.12</v>
      </c>
      <c r="I7" s="25">
        <v>0</v>
      </c>
      <c r="J7" s="25">
        <v>0</v>
      </c>
      <c r="K7" s="25">
        <v>0</v>
      </c>
      <c r="L7" s="25">
        <v>0</v>
      </c>
      <c r="M7" s="25">
        <v>0.02</v>
      </c>
      <c r="N7" s="25">
        <v>0.15</v>
      </c>
      <c r="O7" s="25">
        <v>0.06</v>
      </c>
      <c r="P7" s="25">
        <v>0.04</v>
      </c>
      <c r="Q7" s="25">
        <v>0</v>
      </c>
      <c r="R7" s="30">
        <v>0</v>
      </c>
      <c r="S7" s="30">
        <v>0</v>
      </c>
      <c r="T7" s="30">
        <v>0</v>
      </c>
      <c r="U7" s="30">
        <v>0</v>
      </c>
      <c r="V7" s="30">
        <v>0</v>
      </c>
      <c r="W7" s="30">
        <v>0</v>
      </c>
      <c r="X7" s="30">
        <v>0</v>
      </c>
      <c r="Y7" s="30">
        <v>0</v>
      </c>
      <c r="Z7" s="30">
        <v>0</v>
      </c>
      <c r="AA7" s="30">
        <v>0</v>
      </c>
      <c r="AB7" s="30">
        <v>0</v>
      </c>
      <c r="AC7" s="30">
        <v>0</v>
      </c>
      <c r="AD7" s="30">
        <v>0</v>
      </c>
      <c r="AE7" s="30">
        <v>0</v>
      </c>
      <c r="AF7" s="30">
        <v>0</v>
      </c>
      <c r="AG7" s="30">
        <v>0</v>
      </c>
      <c r="AH7" s="30">
        <v>0</v>
      </c>
      <c r="AI7" s="30">
        <v>0</v>
      </c>
      <c r="AJ7" s="30">
        <v>0</v>
      </c>
      <c r="AK7" s="30">
        <v>0</v>
      </c>
      <c r="AL7" s="30">
        <v>0</v>
      </c>
      <c r="AM7" s="30">
        <v>0</v>
      </c>
      <c r="AN7" s="30">
        <v>0</v>
      </c>
      <c r="AO7" s="30">
        <v>0</v>
      </c>
      <c r="AP7" s="30">
        <v>0</v>
      </c>
      <c r="AQ7" s="30">
        <v>0</v>
      </c>
      <c r="AR7" s="2"/>
      <c r="AS7" s="2"/>
      <c r="AT7" s="2"/>
      <c r="AU7" s="2"/>
      <c r="AV7" s="2"/>
      <c r="AW7" s="2"/>
      <c r="AX7" s="2"/>
      <c r="AY7" s="2"/>
      <c r="AZ7" s="2"/>
      <c r="BA7" s="2"/>
    </row>
    <row r="8" spans="1:54" ht="17.100000000000001" customHeight="1" thickTop="1" thickBot="1" x14ac:dyDescent="0.3">
      <c r="A8" s="8" t="str">
        <f>Sliders!A7</f>
        <v>Crime</v>
      </c>
      <c r="B8" s="25">
        <v>0.3</v>
      </c>
      <c r="C8" s="24">
        <v>-0.13</v>
      </c>
      <c r="D8" s="25">
        <v>-7.0000000000000007E-2</v>
      </c>
      <c r="E8" s="25">
        <v>0</v>
      </c>
      <c r="F8" s="25">
        <v>0.24</v>
      </c>
      <c r="G8" s="25">
        <v>0.02</v>
      </c>
      <c r="H8" s="30">
        <v>1</v>
      </c>
      <c r="I8" s="25">
        <v>0</v>
      </c>
      <c r="J8" s="25">
        <v>0.12</v>
      </c>
      <c r="K8" s="25">
        <v>0.05</v>
      </c>
      <c r="L8" s="25">
        <v>-0.23</v>
      </c>
      <c r="M8" s="25">
        <v>0</v>
      </c>
      <c r="N8" s="25">
        <v>-0.17</v>
      </c>
      <c r="O8" s="25">
        <v>-0.18</v>
      </c>
      <c r="P8" s="25">
        <v>0.2</v>
      </c>
      <c r="Q8" s="25">
        <v>-0.17</v>
      </c>
      <c r="R8" s="30">
        <v>0</v>
      </c>
      <c r="S8" s="30">
        <v>0</v>
      </c>
      <c r="T8" s="30">
        <v>0</v>
      </c>
      <c r="U8" s="30">
        <v>0</v>
      </c>
      <c r="V8" s="30">
        <v>0</v>
      </c>
      <c r="W8" s="30">
        <v>0</v>
      </c>
      <c r="X8" s="30">
        <v>0</v>
      </c>
      <c r="Y8" s="30">
        <v>0</v>
      </c>
      <c r="Z8" s="30">
        <v>0</v>
      </c>
      <c r="AA8" s="30">
        <v>0</v>
      </c>
      <c r="AB8" s="30">
        <v>0</v>
      </c>
      <c r="AC8" s="30">
        <v>0</v>
      </c>
      <c r="AD8" s="30">
        <v>0</v>
      </c>
      <c r="AE8" s="30">
        <v>0</v>
      </c>
      <c r="AF8" s="30">
        <v>0</v>
      </c>
      <c r="AG8" s="30">
        <v>0</v>
      </c>
      <c r="AH8" s="30">
        <v>0</v>
      </c>
      <c r="AI8" s="30">
        <v>0</v>
      </c>
      <c r="AJ8" s="30">
        <v>0</v>
      </c>
      <c r="AK8" s="30">
        <v>0</v>
      </c>
      <c r="AL8" s="30">
        <v>0</v>
      </c>
      <c r="AM8" s="30">
        <v>0</v>
      </c>
      <c r="AN8" s="30">
        <v>0</v>
      </c>
      <c r="AO8" s="30">
        <v>0</v>
      </c>
      <c r="AP8" s="30">
        <v>0</v>
      </c>
      <c r="AQ8" s="30">
        <v>0</v>
      </c>
      <c r="AR8" s="2"/>
      <c r="AS8" s="2"/>
      <c r="AT8" s="2"/>
      <c r="AU8" s="2"/>
      <c r="AV8" s="2"/>
      <c r="AW8" s="2"/>
      <c r="AX8" s="2"/>
      <c r="AY8" s="2"/>
      <c r="AZ8" s="2"/>
      <c r="BA8" s="2"/>
    </row>
    <row r="9" spans="1:54" ht="17.100000000000001" customHeight="1" thickTop="1" thickBot="1" x14ac:dyDescent="0.3">
      <c r="A9" s="8" t="str">
        <f>Sliders!A8</f>
        <v>Deathrate</v>
      </c>
      <c r="B9" s="25">
        <v>0.31</v>
      </c>
      <c r="C9" s="24">
        <v>0.14000000000000001</v>
      </c>
      <c r="D9" s="25">
        <v>-0.13</v>
      </c>
      <c r="E9" s="25">
        <v>-0.02</v>
      </c>
      <c r="F9" s="25">
        <v>0.21</v>
      </c>
      <c r="G9" s="25">
        <v>0</v>
      </c>
      <c r="H9" s="25">
        <v>0.36</v>
      </c>
      <c r="I9" s="30">
        <v>1</v>
      </c>
      <c r="J9" s="25">
        <v>0.1</v>
      </c>
      <c r="K9" s="25">
        <v>0</v>
      </c>
      <c r="L9" s="25">
        <v>-0.13</v>
      </c>
      <c r="M9" s="25">
        <v>0</v>
      </c>
      <c r="N9" s="25">
        <v>-0.21</v>
      </c>
      <c r="O9" s="25">
        <v>-0.13</v>
      </c>
      <c r="P9" s="25">
        <v>-0.12</v>
      </c>
      <c r="Q9" s="25">
        <v>-0.12</v>
      </c>
      <c r="R9" s="30">
        <v>0</v>
      </c>
      <c r="S9" s="30">
        <v>0</v>
      </c>
      <c r="T9" s="30">
        <v>0</v>
      </c>
      <c r="U9" s="30">
        <v>0</v>
      </c>
      <c r="V9" s="30">
        <v>0</v>
      </c>
      <c r="W9" s="30">
        <v>0</v>
      </c>
      <c r="X9" s="30">
        <v>0</v>
      </c>
      <c r="Y9" s="30">
        <v>0</v>
      </c>
      <c r="Z9" s="30">
        <v>0</v>
      </c>
      <c r="AA9" s="30">
        <v>0</v>
      </c>
      <c r="AB9" s="30">
        <v>0</v>
      </c>
      <c r="AC9" s="30">
        <v>0</v>
      </c>
      <c r="AD9" s="30">
        <v>0</v>
      </c>
      <c r="AE9" s="30">
        <v>0</v>
      </c>
      <c r="AF9" s="30">
        <v>0</v>
      </c>
      <c r="AG9" s="30">
        <v>0</v>
      </c>
      <c r="AH9" s="30">
        <v>0</v>
      </c>
      <c r="AI9" s="30">
        <v>0</v>
      </c>
      <c r="AJ9" s="30">
        <v>0</v>
      </c>
      <c r="AK9" s="30">
        <v>0</v>
      </c>
      <c r="AL9" s="30">
        <v>0</v>
      </c>
      <c r="AM9" s="30">
        <v>0</v>
      </c>
      <c r="AN9" s="30">
        <v>0</v>
      </c>
      <c r="AO9" s="30">
        <v>0</v>
      </c>
      <c r="AP9" s="30">
        <v>0</v>
      </c>
      <c r="AQ9" s="30">
        <v>0</v>
      </c>
      <c r="AR9" s="2"/>
      <c r="AS9" s="2"/>
      <c r="AT9" s="2"/>
      <c r="AU9" s="2"/>
      <c r="AV9" s="2"/>
      <c r="AW9" s="2"/>
      <c r="AX9" s="2"/>
      <c r="AY9" s="2"/>
      <c r="AZ9" s="2"/>
      <c r="BA9" s="2"/>
    </row>
    <row r="10" spans="1:54" ht="17.100000000000001" customHeight="1" thickTop="1" thickBot="1" x14ac:dyDescent="0.3">
      <c r="A10" s="8" t="str">
        <f>Sliders!A9</f>
        <v>Discrimination</v>
      </c>
      <c r="B10" s="25">
        <v>0</v>
      </c>
      <c r="C10" s="26">
        <v>0.12</v>
      </c>
      <c r="D10" s="25">
        <v>0.27</v>
      </c>
      <c r="E10" s="25">
        <v>0</v>
      </c>
      <c r="F10" s="25">
        <v>0.25</v>
      </c>
      <c r="G10" s="25">
        <v>0</v>
      </c>
      <c r="H10" s="25">
        <v>0</v>
      </c>
      <c r="I10" s="25">
        <v>0</v>
      </c>
      <c r="J10" s="30">
        <v>1</v>
      </c>
      <c r="K10" s="25">
        <v>0.1</v>
      </c>
      <c r="L10" s="25">
        <v>-0.16</v>
      </c>
      <c r="M10" s="25">
        <v>0</v>
      </c>
      <c r="N10" s="25">
        <v>0</v>
      </c>
      <c r="O10" s="25">
        <v>0</v>
      </c>
      <c r="P10" s="25">
        <v>0</v>
      </c>
      <c r="Q10" s="30">
        <v>0</v>
      </c>
      <c r="R10" s="30">
        <v>0</v>
      </c>
      <c r="S10" s="30">
        <v>0</v>
      </c>
      <c r="T10" s="30">
        <v>0</v>
      </c>
      <c r="U10" s="30">
        <v>0</v>
      </c>
      <c r="V10" s="30">
        <v>0</v>
      </c>
      <c r="W10" s="30">
        <v>0</v>
      </c>
      <c r="X10" s="30">
        <v>0</v>
      </c>
      <c r="Y10" s="30">
        <v>0</v>
      </c>
      <c r="Z10" s="30">
        <v>0</v>
      </c>
      <c r="AA10" s="30">
        <v>0</v>
      </c>
      <c r="AB10" s="30">
        <v>0</v>
      </c>
      <c r="AC10" s="30">
        <v>0</v>
      </c>
      <c r="AD10" s="30">
        <v>0</v>
      </c>
      <c r="AE10" s="30">
        <v>0</v>
      </c>
      <c r="AF10" s="30">
        <v>0</v>
      </c>
      <c r="AG10" s="30">
        <v>0</v>
      </c>
      <c r="AH10" s="30">
        <v>0</v>
      </c>
      <c r="AI10" s="30">
        <v>0</v>
      </c>
      <c r="AJ10" s="30">
        <v>0</v>
      </c>
      <c r="AK10" s="30">
        <v>0</v>
      </c>
      <c r="AL10" s="30">
        <v>0</v>
      </c>
      <c r="AM10" s="30">
        <v>0</v>
      </c>
      <c r="AN10" s="30">
        <v>0</v>
      </c>
      <c r="AO10" s="30">
        <v>0</v>
      </c>
      <c r="AP10" s="30">
        <v>0</v>
      </c>
      <c r="AQ10" s="30">
        <v>0</v>
      </c>
      <c r="AR10" s="2"/>
      <c r="AS10" s="2"/>
      <c r="AT10" s="2"/>
      <c r="AU10" s="2"/>
      <c r="AV10" s="2"/>
      <c r="AW10" s="2"/>
      <c r="AX10" s="2"/>
      <c r="AY10" s="2"/>
      <c r="AZ10" s="2"/>
      <c r="BA10" s="2"/>
    </row>
    <row r="11" spans="1:54" ht="17.100000000000001" customHeight="1" thickTop="1" thickBot="1" x14ac:dyDescent="0.3">
      <c r="A11" s="8" t="str">
        <f>Sliders!A10</f>
        <v>Diversity</v>
      </c>
      <c r="B11" s="25">
        <v>0</v>
      </c>
      <c r="C11" s="24">
        <v>0.11</v>
      </c>
      <c r="D11" s="25">
        <v>-0.2</v>
      </c>
      <c r="E11" s="25">
        <v>0</v>
      </c>
      <c r="F11" s="25">
        <v>0</v>
      </c>
      <c r="G11" s="25">
        <v>0</v>
      </c>
      <c r="H11" s="25">
        <v>0</v>
      </c>
      <c r="I11" s="25">
        <v>0</v>
      </c>
      <c r="J11" s="25">
        <v>-0.17</v>
      </c>
      <c r="K11" s="30">
        <v>1</v>
      </c>
      <c r="L11" s="25">
        <v>0.1</v>
      </c>
      <c r="M11" s="25">
        <v>-0.04</v>
      </c>
      <c r="N11" s="25">
        <v>0.03</v>
      </c>
      <c r="O11" s="25">
        <v>0</v>
      </c>
      <c r="P11" s="25">
        <v>0</v>
      </c>
      <c r="Q11" s="30">
        <v>0</v>
      </c>
      <c r="R11" s="30">
        <v>0</v>
      </c>
      <c r="S11" s="30">
        <v>0</v>
      </c>
      <c r="T11" s="30">
        <v>0</v>
      </c>
      <c r="U11" s="30">
        <v>0</v>
      </c>
      <c r="V11" s="30">
        <v>0</v>
      </c>
      <c r="W11" s="30">
        <v>0</v>
      </c>
      <c r="X11" s="30">
        <v>0</v>
      </c>
      <c r="Y11" s="30">
        <v>0</v>
      </c>
      <c r="Z11" s="30">
        <v>0</v>
      </c>
      <c r="AA11" s="30">
        <v>0</v>
      </c>
      <c r="AB11" s="30">
        <v>0</v>
      </c>
      <c r="AC11" s="30">
        <v>0</v>
      </c>
      <c r="AD11" s="30">
        <v>0</v>
      </c>
      <c r="AE11" s="30">
        <v>0</v>
      </c>
      <c r="AF11" s="30">
        <v>0</v>
      </c>
      <c r="AG11" s="30">
        <v>0</v>
      </c>
      <c r="AH11" s="30">
        <v>0</v>
      </c>
      <c r="AI11" s="30">
        <v>0</v>
      </c>
      <c r="AJ11" s="30">
        <v>0</v>
      </c>
      <c r="AK11" s="30">
        <v>0</v>
      </c>
      <c r="AL11" s="30">
        <v>0</v>
      </c>
      <c r="AM11" s="30">
        <v>0</v>
      </c>
      <c r="AN11" s="30">
        <v>0</v>
      </c>
      <c r="AO11" s="30">
        <v>0</v>
      </c>
      <c r="AP11" s="30">
        <v>0</v>
      </c>
      <c r="AQ11" s="30">
        <v>0</v>
      </c>
      <c r="AR11" s="2"/>
      <c r="AS11" s="2"/>
      <c r="AT11" s="2"/>
      <c r="AU11" s="2"/>
      <c r="AV11" s="2"/>
      <c r="AW11" s="2"/>
      <c r="AX11" s="2"/>
      <c r="AY11" s="2"/>
      <c r="AZ11" s="2"/>
      <c r="BA11" s="2"/>
    </row>
    <row r="12" spans="1:54" ht="17.100000000000001" customHeight="1" thickTop="1" thickBot="1" x14ac:dyDescent="0.3">
      <c r="A12" s="8" t="str">
        <f>Sliders!A11</f>
        <v>Edu: Access</v>
      </c>
      <c r="B12" s="25">
        <v>-7.0000000000000007E-2</v>
      </c>
      <c r="C12" s="24">
        <v>0.09</v>
      </c>
      <c r="D12" s="25">
        <v>0</v>
      </c>
      <c r="E12" s="25">
        <v>-0.03</v>
      </c>
      <c r="F12" s="25">
        <v>-0.15</v>
      </c>
      <c r="G12" s="25">
        <v>0</v>
      </c>
      <c r="H12" s="25">
        <v>0</v>
      </c>
      <c r="I12" s="23">
        <v>0</v>
      </c>
      <c r="J12" s="23">
        <v>-0.2</v>
      </c>
      <c r="K12" s="23">
        <v>0</v>
      </c>
      <c r="L12" s="30">
        <v>1</v>
      </c>
      <c r="M12" s="25">
        <v>0</v>
      </c>
      <c r="N12" s="25">
        <v>0</v>
      </c>
      <c r="O12" s="25">
        <v>0.04</v>
      </c>
      <c r="P12" s="25">
        <v>0.25</v>
      </c>
      <c r="Q12" s="30">
        <v>0</v>
      </c>
      <c r="R12" s="30">
        <v>0</v>
      </c>
      <c r="S12" s="30">
        <v>0</v>
      </c>
      <c r="T12" s="30">
        <v>0</v>
      </c>
      <c r="U12" s="30">
        <v>0</v>
      </c>
      <c r="V12" s="30">
        <v>0</v>
      </c>
      <c r="W12" s="30">
        <v>0</v>
      </c>
      <c r="X12" s="30">
        <v>0</v>
      </c>
      <c r="Y12" s="30">
        <v>0</v>
      </c>
      <c r="Z12" s="30">
        <v>0</v>
      </c>
      <c r="AA12" s="30">
        <v>0</v>
      </c>
      <c r="AB12" s="30">
        <v>0</v>
      </c>
      <c r="AC12" s="30">
        <v>0</v>
      </c>
      <c r="AD12" s="30">
        <v>0</v>
      </c>
      <c r="AE12" s="30">
        <v>0</v>
      </c>
      <c r="AF12" s="30">
        <v>0</v>
      </c>
      <c r="AG12" s="30">
        <v>0</v>
      </c>
      <c r="AH12" s="30">
        <v>0</v>
      </c>
      <c r="AI12" s="30">
        <v>0</v>
      </c>
      <c r="AJ12" s="30">
        <v>0</v>
      </c>
      <c r="AK12" s="30">
        <v>0</v>
      </c>
      <c r="AL12" s="30">
        <v>0</v>
      </c>
      <c r="AM12" s="30">
        <v>0</v>
      </c>
      <c r="AN12" s="30">
        <v>0</v>
      </c>
      <c r="AO12" s="30">
        <v>0</v>
      </c>
      <c r="AP12" s="30">
        <v>0</v>
      </c>
      <c r="AQ12" s="30">
        <v>0</v>
      </c>
      <c r="AR12" s="2"/>
      <c r="AS12" s="2"/>
      <c r="AT12" s="2"/>
      <c r="AU12" s="2"/>
      <c r="AV12" s="2"/>
      <c r="AW12" s="2"/>
      <c r="AX12" s="2"/>
      <c r="AY12" s="2"/>
      <c r="AZ12" s="2"/>
      <c r="BA12" s="2"/>
    </row>
    <row r="13" spans="1:54" ht="17.100000000000001" customHeight="1" thickTop="1" thickBot="1" x14ac:dyDescent="0.3">
      <c r="A13" s="8" t="str">
        <f>Sliders!A12</f>
        <v>Edu: Cost</v>
      </c>
      <c r="B13" s="25">
        <v>0</v>
      </c>
      <c r="C13" s="24">
        <v>-0.08</v>
      </c>
      <c r="D13" s="25">
        <v>0</v>
      </c>
      <c r="E13" s="25">
        <v>0.09</v>
      </c>
      <c r="F13" s="25">
        <v>0.12</v>
      </c>
      <c r="G13" s="23">
        <v>0.05</v>
      </c>
      <c r="H13" s="23">
        <v>0.02</v>
      </c>
      <c r="I13" s="25">
        <v>0</v>
      </c>
      <c r="J13" s="25">
        <v>0.09</v>
      </c>
      <c r="K13" s="25">
        <v>0</v>
      </c>
      <c r="L13" s="23">
        <v>0</v>
      </c>
      <c r="M13" s="30">
        <v>1</v>
      </c>
      <c r="N13" s="25">
        <v>0</v>
      </c>
      <c r="O13" s="25">
        <v>-0.02</v>
      </c>
      <c r="P13" s="25">
        <v>0</v>
      </c>
      <c r="Q13" s="30">
        <v>0</v>
      </c>
      <c r="R13" s="30">
        <v>0</v>
      </c>
      <c r="S13" s="30">
        <v>0</v>
      </c>
      <c r="T13" s="30">
        <v>0</v>
      </c>
      <c r="U13" s="30">
        <v>0</v>
      </c>
      <c r="V13" s="30">
        <v>0</v>
      </c>
      <c r="W13" s="30">
        <v>0</v>
      </c>
      <c r="X13" s="30">
        <v>0</v>
      </c>
      <c r="Y13" s="30">
        <v>0</v>
      </c>
      <c r="Z13" s="30">
        <v>0</v>
      </c>
      <c r="AA13" s="30">
        <v>0</v>
      </c>
      <c r="AB13" s="30">
        <v>0</v>
      </c>
      <c r="AC13" s="30">
        <v>0</v>
      </c>
      <c r="AD13" s="30">
        <v>0</v>
      </c>
      <c r="AE13" s="30">
        <v>0</v>
      </c>
      <c r="AF13" s="30">
        <v>0</v>
      </c>
      <c r="AG13" s="30">
        <v>0</v>
      </c>
      <c r="AH13" s="30">
        <v>0</v>
      </c>
      <c r="AI13" s="30">
        <v>0</v>
      </c>
      <c r="AJ13" s="30">
        <v>0</v>
      </c>
      <c r="AK13" s="30">
        <v>0</v>
      </c>
      <c r="AL13" s="28">
        <v>0</v>
      </c>
      <c r="AM13" s="28">
        <v>0</v>
      </c>
      <c r="AN13" s="30">
        <v>0</v>
      </c>
      <c r="AO13" s="30">
        <v>0</v>
      </c>
      <c r="AP13" s="30">
        <v>0</v>
      </c>
      <c r="AQ13" s="30">
        <v>0</v>
      </c>
      <c r="AR13" s="2"/>
      <c r="AS13" s="2"/>
      <c r="AT13" s="2"/>
      <c r="AU13" s="2"/>
      <c r="AV13" s="2"/>
      <c r="AW13" s="2"/>
      <c r="AX13" s="2"/>
      <c r="AY13" s="2"/>
      <c r="AZ13" s="2"/>
      <c r="BA13" s="2"/>
    </row>
    <row r="14" spans="1:54" ht="17.100000000000001" customHeight="1" thickTop="1" thickBot="1" x14ac:dyDescent="0.3">
      <c r="A14" s="8" t="str">
        <f>Sliders!A13</f>
        <v>Edu: Quality</v>
      </c>
      <c r="B14" s="25">
        <v>-0.13</v>
      </c>
      <c r="C14" s="24">
        <v>0.12</v>
      </c>
      <c r="D14" s="25">
        <v>-0.17</v>
      </c>
      <c r="E14" s="25">
        <v>0</v>
      </c>
      <c r="F14" s="25">
        <v>-0.22</v>
      </c>
      <c r="G14" s="25">
        <v>0</v>
      </c>
      <c r="H14" s="25">
        <v>0</v>
      </c>
      <c r="I14" s="25">
        <v>0</v>
      </c>
      <c r="J14" s="25">
        <v>-0.18</v>
      </c>
      <c r="K14" s="25">
        <v>0.11</v>
      </c>
      <c r="L14" s="25">
        <v>0</v>
      </c>
      <c r="M14" s="25">
        <v>0</v>
      </c>
      <c r="N14" s="30">
        <v>1</v>
      </c>
      <c r="O14" s="25">
        <v>0.05</v>
      </c>
      <c r="P14" s="25">
        <v>7.0000000000000007E-2</v>
      </c>
      <c r="Q14" s="30">
        <v>0</v>
      </c>
      <c r="R14" s="30">
        <v>0</v>
      </c>
      <c r="S14" s="30">
        <v>0</v>
      </c>
      <c r="T14" s="30">
        <v>0</v>
      </c>
      <c r="U14" s="30">
        <v>0</v>
      </c>
      <c r="V14" s="30">
        <v>0</v>
      </c>
      <c r="W14" s="30">
        <v>0</v>
      </c>
      <c r="X14" s="30">
        <v>0</v>
      </c>
      <c r="Y14" s="30">
        <v>0</v>
      </c>
      <c r="Z14" s="30">
        <v>0</v>
      </c>
      <c r="AA14" s="30">
        <v>0</v>
      </c>
      <c r="AB14" s="30">
        <v>0</v>
      </c>
      <c r="AC14" s="30">
        <v>0</v>
      </c>
      <c r="AD14" s="30">
        <v>0</v>
      </c>
      <c r="AE14" s="30">
        <v>0</v>
      </c>
      <c r="AF14" s="30">
        <v>0</v>
      </c>
      <c r="AG14" s="30">
        <v>0</v>
      </c>
      <c r="AH14" s="30">
        <v>0</v>
      </c>
      <c r="AI14" s="30">
        <v>0</v>
      </c>
      <c r="AJ14" s="30">
        <v>0</v>
      </c>
      <c r="AK14" s="30">
        <v>0</v>
      </c>
      <c r="AL14" s="30">
        <v>0</v>
      </c>
      <c r="AM14" s="30">
        <v>0</v>
      </c>
      <c r="AN14" s="30">
        <v>0</v>
      </c>
      <c r="AO14" s="30">
        <v>0</v>
      </c>
      <c r="AP14" s="30">
        <v>0</v>
      </c>
      <c r="AQ14" s="30">
        <v>0</v>
      </c>
      <c r="AR14" s="2"/>
      <c r="AS14" s="2"/>
      <c r="AT14" s="2"/>
      <c r="AU14" s="2"/>
      <c r="AV14" s="2"/>
      <c r="AW14" s="2"/>
      <c r="AX14" s="2"/>
      <c r="AY14" s="2"/>
      <c r="AZ14" s="2"/>
      <c r="BA14" s="2"/>
    </row>
    <row r="15" spans="1:54" ht="17.100000000000001" customHeight="1" thickTop="1" thickBot="1" x14ac:dyDescent="0.3">
      <c r="A15" s="8" t="str">
        <f>Sliders!A14</f>
        <v>Employment</v>
      </c>
      <c r="B15" s="25">
        <v>-0.18</v>
      </c>
      <c r="C15" s="24">
        <v>0.24</v>
      </c>
      <c r="D15" s="25">
        <v>-0.12</v>
      </c>
      <c r="E15" s="25">
        <v>-0.08</v>
      </c>
      <c r="F15" s="25">
        <v>-0.2</v>
      </c>
      <c r="G15" s="25">
        <v>-0.05</v>
      </c>
      <c r="H15" s="25">
        <v>-0.15</v>
      </c>
      <c r="I15" s="25">
        <v>0</v>
      </c>
      <c r="J15" s="25">
        <v>-0.26</v>
      </c>
      <c r="K15" s="25">
        <v>0</v>
      </c>
      <c r="L15" s="25">
        <v>0.22</v>
      </c>
      <c r="M15" s="23">
        <v>-0.03</v>
      </c>
      <c r="N15" s="23">
        <v>0.27</v>
      </c>
      <c r="O15" s="30">
        <v>1</v>
      </c>
      <c r="P15" s="25">
        <v>0.12</v>
      </c>
      <c r="Q15" s="30">
        <v>0</v>
      </c>
      <c r="R15" s="30">
        <v>0</v>
      </c>
      <c r="S15" s="30">
        <v>0</v>
      </c>
      <c r="T15" s="30">
        <v>0</v>
      </c>
      <c r="U15" s="30">
        <v>0</v>
      </c>
      <c r="V15" s="30">
        <v>0</v>
      </c>
      <c r="W15" s="30">
        <v>0</v>
      </c>
      <c r="X15" s="30">
        <v>0</v>
      </c>
      <c r="Y15" s="30">
        <v>0</v>
      </c>
      <c r="Z15" s="30">
        <v>0</v>
      </c>
      <c r="AA15" s="30">
        <v>0</v>
      </c>
      <c r="AB15" s="30">
        <v>0</v>
      </c>
      <c r="AC15" s="30">
        <v>0</v>
      </c>
      <c r="AD15" s="30">
        <v>0</v>
      </c>
      <c r="AE15" s="30">
        <v>0</v>
      </c>
      <c r="AF15" s="30">
        <v>0</v>
      </c>
      <c r="AG15" s="30">
        <v>0</v>
      </c>
      <c r="AH15" s="30">
        <v>0</v>
      </c>
      <c r="AI15" s="30">
        <v>0</v>
      </c>
      <c r="AJ15" s="30">
        <v>0</v>
      </c>
      <c r="AK15" s="30">
        <v>0</v>
      </c>
      <c r="AL15" s="30">
        <v>0</v>
      </c>
      <c r="AM15" s="30">
        <v>0</v>
      </c>
      <c r="AN15" s="30">
        <v>0</v>
      </c>
      <c r="AO15" s="30">
        <v>0</v>
      </c>
      <c r="AP15" s="30">
        <v>0</v>
      </c>
      <c r="AQ15" s="30">
        <v>0</v>
      </c>
      <c r="AR15" s="2"/>
      <c r="AS15" s="2"/>
      <c r="AT15" s="2"/>
      <c r="AU15" s="2"/>
      <c r="AV15" s="2"/>
      <c r="AW15" s="2"/>
      <c r="AX15" s="2"/>
      <c r="AY15" s="2"/>
      <c r="AZ15" s="2"/>
      <c r="BA15" s="2"/>
    </row>
    <row r="16" spans="1:54" ht="17.100000000000001" customHeight="1" thickTop="1" thickBot="1" x14ac:dyDescent="0.3">
      <c r="A16" s="8" t="str">
        <f>Sliders!A15</f>
        <v>Energy Production</v>
      </c>
      <c r="B16" s="25">
        <v>0</v>
      </c>
      <c r="C16" s="24">
        <v>0.13</v>
      </c>
      <c r="D16" s="25">
        <v>0.1</v>
      </c>
      <c r="E16" s="25">
        <v>0</v>
      </c>
      <c r="F16" s="25">
        <v>-0.17</v>
      </c>
      <c r="G16" s="25">
        <v>0</v>
      </c>
      <c r="H16" s="25">
        <v>0</v>
      </c>
      <c r="I16" s="25">
        <v>0</v>
      </c>
      <c r="J16" s="25">
        <v>0</v>
      </c>
      <c r="K16" s="25">
        <v>0</v>
      </c>
      <c r="L16" s="25">
        <v>0.11</v>
      </c>
      <c r="M16" s="25">
        <v>0</v>
      </c>
      <c r="N16" s="25">
        <v>0.16</v>
      </c>
      <c r="O16" s="25">
        <v>0.01</v>
      </c>
      <c r="P16" s="30">
        <v>1</v>
      </c>
      <c r="Q16" s="30">
        <v>0</v>
      </c>
      <c r="R16" s="30">
        <v>0</v>
      </c>
      <c r="S16" s="30">
        <v>0</v>
      </c>
      <c r="T16" s="30">
        <v>0</v>
      </c>
      <c r="U16" s="30">
        <v>0</v>
      </c>
      <c r="V16" s="30">
        <v>0</v>
      </c>
      <c r="W16" s="30">
        <v>0</v>
      </c>
      <c r="X16" s="30">
        <v>0</v>
      </c>
      <c r="Y16" s="30">
        <v>0</v>
      </c>
      <c r="Z16" s="30">
        <v>0</v>
      </c>
      <c r="AA16" s="30">
        <v>0</v>
      </c>
      <c r="AB16" s="30">
        <v>0</v>
      </c>
      <c r="AC16" s="30">
        <v>0</v>
      </c>
      <c r="AD16" s="30">
        <v>0</v>
      </c>
      <c r="AE16" s="30">
        <v>0</v>
      </c>
      <c r="AF16" s="30">
        <v>0</v>
      </c>
      <c r="AG16" s="30">
        <v>0</v>
      </c>
      <c r="AH16" s="30">
        <v>0</v>
      </c>
      <c r="AI16" s="30">
        <v>0</v>
      </c>
      <c r="AJ16" s="30">
        <v>0</v>
      </c>
      <c r="AK16" s="30">
        <v>0</v>
      </c>
      <c r="AL16" s="30">
        <v>0</v>
      </c>
      <c r="AM16" s="30">
        <v>0</v>
      </c>
      <c r="AN16" s="30">
        <v>0</v>
      </c>
      <c r="AO16" s="30">
        <v>0</v>
      </c>
      <c r="AP16" s="30">
        <v>0</v>
      </c>
      <c r="AQ16" s="30">
        <v>0</v>
      </c>
      <c r="AR16" s="2"/>
      <c r="AS16" s="2"/>
      <c r="AT16" s="2"/>
      <c r="AU16" s="2"/>
      <c r="AV16" s="2"/>
      <c r="AW16" s="2"/>
      <c r="AX16" s="2"/>
      <c r="AY16" s="2"/>
      <c r="AZ16" s="2"/>
      <c r="BA16" s="2"/>
    </row>
    <row r="17" spans="1:53" ht="17.100000000000001" customHeight="1" thickTop="1" thickBot="1" x14ac:dyDescent="0.3">
      <c r="A17" s="8" t="str">
        <f>Sliders!A16</f>
        <v>Equality</v>
      </c>
      <c r="B17" s="25">
        <v>-0.06</v>
      </c>
      <c r="C17" s="24">
        <v>-0.11</v>
      </c>
      <c r="D17" s="25">
        <v>-7.0000000000000007E-2</v>
      </c>
      <c r="E17" s="25">
        <v>0</v>
      </c>
      <c r="F17" s="25">
        <v>-0.27</v>
      </c>
      <c r="G17" s="25">
        <v>-0.03</v>
      </c>
      <c r="H17" s="25">
        <v>-0.15</v>
      </c>
      <c r="I17" s="25">
        <v>0</v>
      </c>
      <c r="J17" s="25">
        <v>-0.35</v>
      </c>
      <c r="K17" s="25">
        <v>0</v>
      </c>
      <c r="L17" s="25">
        <v>0.12</v>
      </c>
      <c r="M17" s="25">
        <v>0</v>
      </c>
      <c r="N17" s="25">
        <v>0.14000000000000001</v>
      </c>
      <c r="O17" s="25">
        <v>0</v>
      </c>
      <c r="P17" s="25">
        <v>0</v>
      </c>
      <c r="Q17" s="30">
        <v>1</v>
      </c>
      <c r="R17" s="30">
        <v>0</v>
      </c>
      <c r="S17" s="30">
        <v>0</v>
      </c>
      <c r="T17" s="30">
        <v>0</v>
      </c>
      <c r="U17" s="30">
        <v>0</v>
      </c>
      <c r="V17" s="30">
        <v>0</v>
      </c>
      <c r="W17" s="30">
        <v>0</v>
      </c>
      <c r="X17" s="30">
        <v>0</v>
      </c>
      <c r="Y17" s="30">
        <v>0</v>
      </c>
      <c r="Z17" s="30">
        <v>0</v>
      </c>
      <c r="AA17" s="30">
        <v>0</v>
      </c>
      <c r="AB17" s="30">
        <v>0</v>
      </c>
      <c r="AC17" s="30">
        <v>0</v>
      </c>
      <c r="AD17" s="30">
        <v>0</v>
      </c>
      <c r="AE17" s="30">
        <v>0</v>
      </c>
      <c r="AF17" s="30">
        <v>0</v>
      </c>
      <c r="AG17" s="30">
        <v>0</v>
      </c>
      <c r="AH17" s="30">
        <v>0</v>
      </c>
      <c r="AI17" s="30">
        <v>0</v>
      </c>
      <c r="AJ17" s="30">
        <v>0</v>
      </c>
      <c r="AK17" s="30">
        <v>0</v>
      </c>
      <c r="AL17" s="30">
        <v>0</v>
      </c>
      <c r="AM17" s="30">
        <v>0</v>
      </c>
      <c r="AN17" s="30">
        <v>0</v>
      </c>
      <c r="AO17" s="30">
        <v>0</v>
      </c>
      <c r="AP17" s="30">
        <v>0</v>
      </c>
      <c r="AQ17" s="30">
        <v>0</v>
      </c>
      <c r="AR17" s="2"/>
      <c r="AS17" s="2"/>
      <c r="AT17" s="2"/>
      <c r="AU17" s="2"/>
      <c r="AV17" s="2"/>
      <c r="AW17" s="2"/>
      <c r="AX17" s="2"/>
      <c r="AY17" s="2"/>
      <c r="AZ17" s="2"/>
      <c r="BA17" s="2"/>
    </row>
    <row r="18" spans="1:53" ht="17.100000000000001" customHeight="1" thickTop="1" thickBot="1" x14ac:dyDescent="0.3">
      <c r="A18" s="8" t="str">
        <f>Sliders!A17</f>
        <v>Family Values</v>
      </c>
      <c r="B18" s="25">
        <v>-0.21</v>
      </c>
      <c r="C18" s="24">
        <v>0.22</v>
      </c>
      <c r="D18" s="25">
        <v>0.28999999999999998</v>
      </c>
      <c r="E18" s="25">
        <v>0.18</v>
      </c>
      <c r="F18" s="25">
        <v>-0.13</v>
      </c>
      <c r="G18" s="25">
        <v>-0.01</v>
      </c>
      <c r="H18" s="25">
        <v>-0.22</v>
      </c>
      <c r="I18" s="25">
        <v>0</v>
      </c>
      <c r="J18" s="25">
        <v>-0.12</v>
      </c>
      <c r="K18" s="25">
        <v>0.04</v>
      </c>
      <c r="L18" s="25">
        <v>0.16</v>
      </c>
      <c r="M18" s="25">
        <v>0.1</v>
      </c>
      <c r="N18" s="25">
        <v>0.02</v>
      </c>
      <c r="O18" s="25">
        <v>0.03</v>
      </c>
      <c r="P18" s="25">
        <v>0</v>
      </c>
      <c r="Q18" s="30">
        <v>0</v>
      </c>
      <c r="R18" s="30">
        <v>1</v>
      </c>
      <c r="S18" s="30">
        <v>0</v>
      </c>
      <c r="T18" s="30">
        <v>0</v>
      </c>
      <c r="U18" s="30">
        <v>0</v>
      </c>
      <c r="V18" s="30">
        <v>0</v>
      </c>
      <c r="W18" s="30">
        <v>0</v>
      </c>
      <c r="X18" s="30">
        <v>0</v>
      </c>
      <c r="Y18" s="30">
        <v>0</v>
      </c>
      <c r="Z18" s="30">
        <v>0</v>
      </c>
      <c r="AA18" s="30">
        <v>0</v>
      </c>
      <c r="AB18" s="30">
        <v>0</v>
      </c>
      <c r="AC18" s="30">
        <v>0</v>
      </c>
      <c r="AD18" s="30">
        <v>0</v>
      </c>
      <c r="AE18" s="30">
        <v>0</v>
      </c>
      <c r="AF18" s="30">
        <v>0</v>
      </c>
      <c r="AG18" s="30">
        <v>0</v>
      </c>
      <c r="AH18" s="30">
        <v>0</v>
      </c>
      <c r="AI18" s="30">
        <v>0</v>
      </c>
      <c r="AJ18" s="30">
        <v>0</v>
      </c>
      <c r="AK18" s="30">
        <v>0</v>
      </c>
      <c r="AL18" s="30">
        <v>0</v>
      </c>
      <c r="AM18" s="30">
        <v>0</v>
      </c>
      <c r="AN18" s="30">
        <v>0</v>
      </c>
      <c r="AO18" s="30">
        <v>0</v>
      </c>
      <c r="AP18" s="30">
        <v>0</v>
      </c>
      <c r="AQ18" s="30">
        <v>0</v>
      </c>
      <c r="AR18" s="2"/>
      <c r="AS18" s="2"/>
      <c r="AT18" s="2"/>
      <c r="AU18" s="2"/>
      <c r="AV18" s="2"/>
      <c r="AW18" s="2"/>
      <c r="AX18" s="2"/>
      <c r="AY18" s="2"/>
      <c r="AZ18" s="2"/>
      <c r="BA18" s="2"/>
    </row>
    <row r="19" spans="1:53" ht="17.100000000000001" customHeight="1" thickTop="1" thickBot="1" x14ac:dyDescent="0.3">
      <c r="A19" s="8" t="str">
        <f>Sliders!A18</f>
        <v>Freedom of Speech</v>
      </c>
      <c r="B19" s="25">
        <v>0</v>
      </c>
      <c r="C19" s="24">
        <v>-0.08</v>
      </c>
      <c r="D19" s="25">
        <v>-0.33</v>
      </c>
      <c r="E19" s="25">
        <v>0</v>
      </c>
      <c r="F19" s="25">
        <v>-0.28000000000000003</v>
      </c>
      <c r="G19" s="25">
        <v>0</v>
      </c>
      <c r="H19" s="25">
        <v>-0.04</v>
      </c>
      <c r="I19" s="25">
        <v>0</v>
      </c>
      <c r="J19" s="25">
        <v>0.3</v>
      </c>
      <c r="K19" s="25">
        <v>0</v>
      </c>
      <c r="L19" s="25">
        <v>0.1</v>
      </c>
      <c r="M19" s="25">
        <v>0</v>
      </c>
      <c r="N19" s="25">
        <v>0.09</v>
      </c>
      <c r="O19" s="25">
        <v>0</v>
      </c>
      <c r="P19" s="25">
        <v>0</v>
      </c>
      <c r="Q19" s="30">
        <v>0</v>
      </c>
      <c r="R19" s="30">
        <v>0</v>
      </c>
      <c r="S19" s="30">
        <v>1</v>
      </c>
      <c r="T19" s="30">
        <v>0</v>
      </c>
      <c r="U19" s="30">
        <v>0</v>
      </c>
      <c r="V19" s="30">
        <v>0</v>
      </c>
      <c r="W19" s="30">
        <v>0</v>
      </c>
      <c r="X19" s="30">
        <v>0</v>
      </c>
      <c r="Y19" s="30">
        <v>0</v>
      </c>
      <c r="Z19" s="30">
        <v>0</v>
      </c>
      <c r="AA19" s="30">
        <v>0</v>
      </c>
      <c r="AB19" s="30">
        <v>0</v>
      </c>
      <c r="AC19" s="30">
        <v>0</v>
      </c>
      <c r="AD19" s="30">
        <v>0</v>
      </c>
      <c r="AE19" s="30">
        <v>0</v>
      </c>
      <c r="AF19" s="30">
        <v>0</v>
      </c>
      <c r="AG19" s="30">
        <v>0</v>
      </c>
      <c r="AH19" s="30">
        <v>0</v>
      </c>
      <c r="AI19" s="30">
        <v>0</v>
      </c>
      <c r="AJ19" s="30">
        <v>0</v>
      </c>
      <c r="AK19" s="30">
        <v>0</v>
      </c>
      <c r="AL19" s="30">
        <v>0</v>
      </c>
      <c r="AM19" s="30">
        <v>0</v>
      </c>
      <c r="AN19" s="30">
        <v>0</v>
      </c>
      <c r="AO19" s="30">
        <v>0</v>
      </c>
      <c r="AP19" s="30">
        <v>0</v>
      </c>
      <c r="AQ19" s="30">
        <v>0</v>
      </c>
      <c r="AR19" s="2"/>
      <c r="AS19" s="2"/>
      <c r="AT19" s="2"/>
      <c r="AU19" s="2"/>
      <c r="AV19" s="2"/>
      <c r="AW19" s="2"/>
      <c r="AX19" s="2"/>
      <c r="AY19" s="2"/>
      <c r="AZ19" s="2"/>
      <c r="BA19" s="2"/>
    </row>
    <row r="20" spans="1:53" ht="17.100000000000001" customHeight="1" thickTop="1" thickBot="1" x14ac:dyDescent="0.3">
      <c r="A20" s="8" t="str">
        <f>Sliders!A19</f>
        <v>Gun Rights</v>
      </c>
      <c r="B20" s="25">
        <v>-0.12</v>
      </c>
      <c r="C20" s="24">
        <v>0.01</v>
      </c>
      <c r="D20" s="25">
        <v>-0.14000000000000001</v>
      </c>
      <c r="E20" s="25">
        <v>0</v>
      </c>
      <c r="F20" s="25">
        <v>0</v>
      </c>
      <c r="G20" s="25">
        <v>0</v>
      </c>
      <c r="H20" s="25">
        <v>-0.21</v>
      </c>
      <c r="I20" s="25">
        <v>0</v>
      </c>
      <c r="J20" s="25">
        <v>0</v>
      </c>
      <c r="K20" s="25">
        <v>0</v>
      </c>
      <c r="L20" s="25">
        <v>0.06</v>
      </c>
      <c r="M20" s="25">
        <v>0</v>
      </c>
      <c r="N20" s="25">
        <v>0.03</v>
      </c>
      <c r="O20" s="25">
        <v>0</v>
      </c>
      <c r="P20" s="25">
        <v>0</v>
      </c>
      <c r="Q20" s="30">
        <v>0</v>
      </c>
      <c r="R20" s="30">
        <v>0</v>
      </c>
      <c r="S20" s="30">
        <v>0</v>
      </c>
      <c r="T20" s="30">
        <v>1</v>
      </c>
      <c r="U20" s="30">
        <v>0</v>
      </c>
      <c r="V20" s="30">
        <v>0</v>
      </c>
      <c r="W20" s="30">
        <v>0</v>
      </c>
      <c r="X20" s="30">
        <v>0</v>
      </c>
      <c r="Y20" s="30">
        <v>0</v>
      </c>
      <c r="Z20" s="30">
        <v>0</v>
      </c>
      <c r="AA20" s="30">
        <v>0</v>
      </c>
      <c r="AB20" s="30">
        <v>0</v>
      </c>
      <c r="AC20" s="30">
        <v>0</v>
      </c>
      <c r="AD20" s="30">
        <v>0</v>
      </c>
      <c r="AE20" s="30">
        <v>0</v>
      </c>
      <c r="AF20" s="30">
        <v>0</v>
      </c>
      <c r="AG20" s="30">
        <v>0</v>
      </c>
      <c r="AH20" s="30">
        <v>0</v>
      </c>
      <c r="AI20" s="30">
        <v>0</v>
      </c>
      <c r="AJ20" s="30">
        <v>0</v>
      </c>
      <c r="AK20" s="30">
        <v>0</v>
      </c>
      <c r="AL20" s="30">
        <v>0</v>
      </c>
      <c r="AM20" s="30">
        <v>0</v>
      </c>
      <c r="AN20" s="30">
        <v>0</v>
      </c>
      <c r="AO20" s="30">
        <v>0</v>
      </c>
      <c r="AP20" s="30">
        <v>0</v>
      </c>
      <c r="AQ20" s="30">
        <v>0</v>
      </c>
      <c r="AR20" s="2"/>
      <c r="AS20" s="2"/>
      <c r="AT20" s="2"/>
      <c r="AU20" s="2"/>
      <c r="AV20" s="2"/>
      <c r="AW20" s="2"/>
      <c r="AX20" s="2"/>
      <c r="AY20" s="2"/>
      <c r="AZ20" s="2"/>
      <c r="BA20" s="2"/>
    </row>
    <row r="21" spans="1:53" ht="17.100000000000001" customHeight="1" thickTop="1" thickBot="1" x14ac:dyDescent="0.3">
      <c r="A21" s="8" t="str">
        <f>Sliders!A20</f>
        <v>HC Access</v>
      </c>
      <c r="B21" s="25">
        <v>-0.13</v>
      </c>
      <c r="C21" s="24">
        <v>-0.13</v>
      </c>
      <c r="D21" s="25">
        <v>0.16</v>
      </c>
      <c r="E21" s="25">
        <v>0</v>
      </c>
      <c r="F21" s="25">
        <v>-0.28999999999999998</v>
      </c>
      <c r="G21" s="25">
        <v>-0.04</v>
      </c>
      <c r="H21" s="25">
        <v>-0.03</v>
      </c>
      <c r="I21" s="25">
        <v>0</v>
      </c>
      <c r="J21" s="25">
        <v>-0.25</v>
      </c>
      <c r="K21" s="25">
        <v>0</v>
      </c>
      <c r="L21" s="25">
        <v>7.0000000000000007E-2</v>
      </c>
      <c r="M21" s="25">
        <v>0</v>
      </c>
      <c r="N21" s="25">
        <v>0.12</v>
      </c>
      <c r="O21" s="25">
        <v>0.1</v>
      </c>
      <c r="P21" s="25">
        <v>0.28999999999999998</v>
      </c>
      <c r="Q21" s="30">
        <v>0</v>
      </c>
      <c r="R21" s="30">
        <v>0</v>
      </c>
      <c r="S21" s="30">
        <v>0</v>
      </c>
      <c r="T21" s="30">
        <v>0</v>
      </c>
      <c r="U21" s="30">
        <v>1</v>
      </c>
      <c r="V21" s="30">
        <v>0</v>
      </c>
      <c r="W21" s="30">
        <v>0</v>
      </c>
      <c r="X21" s="30">
        <v>0</v>
      </c>
      <c r="Y21" s="30">
        <v>0</v>
      </c>
      <c r="Z21" s="30">
        <v>0</v>
      </c>
      <c r="AA21" s="30">
        <v>0</v>
      </c>
      <c r="AB21" s="30">
        <v>0</v>
      </c>
      <c r="AC21" s="30">
        <v>0</v>
      </c>
      <c r="AD21" s="30">
        <v>0</v>
      </c>
      <c r="AE21" s="30">
        <v>0</v>
      </c>
      <c r="AF21" s="30">
        <v>0</v>
      </c>
      <c r="AG21" s="30">
        <v>0</v>
      </c>
      <c r="AH21" s="30">
        <v>0</v>
      </c>
      <c r="AI21" s="30">
        <v>0</v>
      </c>
      <c r="AJ21" s="30">
        <v>0</v>
      </c>
      <c r="AK21" s="30">
        <v>0</v>
      </c>
      <c r="AL21" s="30">
        <v>0</v>
      </c>
      <c r="AM21" s="30">
        <v>0</v>
      </c>
      <c r="AN21" s="30">
        <v>0</v>
      </c>
      <c r="AO21" s="30">
        <v>0</v>
      </c>
      <c r="AP21" s="30">
        <v>0</v>
      </c>
      <c r="AQ21" s="30">
        <v>0</v>
      </c>
      <c r="AR21" s="2"/>
      <c r="AS21" s="2"/>
      <c r="AT21" s="2"/>
      <c r="AU21" s="2"/>
      <c r="AV21" s="2"/>
      <c r="AW21" s="2"/>
      <c r="AX21" s="2"/>
      <c r="AY21" s="2"/>
      <c r="AZ21" s="2"/>
      <c r="BA21" s="2"/>
    </row>
    <row r="22" spans="1:53" ht="17.100000000000001" customHeight="1" thickTop="1" thickBot="1" x14ac:dyDescent="0.3">
      <c r="A22" s="8" t="str">
        <f>Sliders!A21</f>
        <v>HC Cost</v>
      </c>
      <c r="B22" s="25">
        <v>0.17</v>
      </c>
      <c r="C22" s="24">
        <v>0.11</v>
      </c>
      <c r="D22" s="25">
        <v>-0.1</v>
      </c>
      <c r="E22" s="25">
        <v>0</v>
      </c>
      <c r="F22" s="25">
        <v>0.26</v>
      </c>
      <c r="G22" s="25">
        <v>0.06</v>
      </c>
      <c r="H22" s="25">
        <v>0.23</v>
      </c>
      <c r="I22" s="25">
        <v>0</v>
      </c>
      <c r="J22" s="25">
        <v>-0.14000000000000001</v>
      </c>
      <c r="K22" s="25">
        <v>0</v>
      </c>
      <c r="L22" s="25">
        <v>-0.02</v>
      </c>
      <c r="M22" s="25">
        <v>0.11</v>
      </c>
      <c r="N22" s="25">
        <v>0</v>
      </c>
      <c r="O22" s="25">
        <v>-0.08</v>
      </c>
      <c r="P22" s="25">
        <v>0</v>
      </c>
      <c r="Q22" s="30">
        <v>0</v>
      </c>
      <c r="R22" s="30">
        <v>0</v>
      </c>
      <c r="S22" s="30">
        <v>0</v>
      </c>
      <c r="T22" s="30">
        <v>0</v>
      </c>
      <c r="U22" s="30">
        <v>0</v>
      </c>
      <c r="V22" s="30">
        <v>1</v>
      </c>
      <c r="W22" s="30">
        <v>0</v>
      </c>
      <c r="X22" s="30">
        <v>0</v>
      </c>
      <c r="Y22" s="30">
        <v>0</v>
      </c>
      <c r="Z22" s="30">
        <v>0</v>
      </c>
      <c r="AA22" s="30">
        <v>0</v>
      </c>
      <c r="AB22" s="30">
        <v>0</v>
      </c>
      <c r="AC22" s="30">
        <v>0</v>
      </c>
      <c r="AD22" s="30">
        <v>0</v>
      </c>
      <c r="AE22" s="30">
        <v>0</v>
      </c>
      <c r="AF22" s="30">
        <v>0</v>
      </c>
      <c r="AG22" s="30">
        <v>0</v>
      </c>
      <c r="AH22" s="30">
        <v>0</v>
      </c>
      <c r="AI22" s="30">
        <v>0</v>
      </c>
      <c r="AJ22" s="30">
        <v>0</v>
      </c>
      <c r="AK22" s="30">
        <v>0</v>
      </c>
      <c r="AL22" s="30">
        <v>0</v>
      </c>
      <c r="AM22" s="30">
        <v>0</v>
      </c>
      <c r="AN22" s="30">
        <v>0</v>
      </c>
      <c r="AO22" s="30">
        <v>0</v>
      </c>
      <c r="AP22" s="30">
        <v>0</v>
      </c>
      <c r="AQ22" s="30">
        <v>0</v>
      </c>
      <c r="AR22" s="2"/>
      <c r="AS22" s="2"/>
      <c r="AT22" s="2"/>
      <c r="AU22" s="2"/>
      <c r="AV22" s="2"/>
      <c r="AW22" s="2"/>
      <c r="AX22" s="2"/>
      <c r="AY22" s="2"/>
      <c r="AZ22" s="2"/>
      <c r="BA22" s="2"/>
    </row>
    <row r="23" spans="1:53" ht="17.100000000000001" customHeight="1" thickTop="1" thickBot="1" x14ac:dyDescent="0.3">
      <c r="A23" s="8" t="str">
        <f>Sliders!A22</f>
        <v>HC Quality</v>
      </c>
      <c r="B23" s="25">
        <v>-0.14000000000000001</v>
      </c>
      <c r="C23" s="24">
        <v>-7.0000000000000007E-2</v>
      </c>
      <c r="D23" s="25">
        <v>0.13</v>
      </c>
      <c r="E23" s="25">
        <v>0</v>
      </c>
      <c r="F23" s="25">
        <v>-0.2</v>
      </c>
      <c r="G23" s="25">
        <v>0</v>
      </c>
      <c r="H23" s="25">
        <v>-0.02</v>
      </c>
      <c r="I23" s="25">
        <v>0</v>
      </c>
      <c r="J23" s="25">
        <v>-0.22</v>
      </c>
      <c r="K23" s="25">
        <v>0.16</v>
      </c>
      <c r="L23" s="25">
        <v>0.13</v>
      </c>
      <c r="M23" s="25">
        <v>0.1</v>
      </c>
      <c r="N23" s="25">
        <v>0.34</v>
      </c>
      <c r="O23" s="25">
        <v>0</v>
      </c>
      <c r="P23" s="25">
        <v>0.23</v>
      </c>
      <c r="Q23" s="30">
        <v>0</v>
      </c>
      <c r="R23" s="30">
        <v>0</v>
      </c>
      <c r="S23" s="30">
        <v>0</v>
      </c>
      <c r="T23" s="30">
        <v>0</v>
      </c>
      <c r="U23" s="30">
        <v>0</v>
      </c>
      <c r="V23" s="30">
        <v>0</v>
      </c>
      <c r="W23" s="30">
        <v>1</v>
      </c>
      <c r="X23" s="30">
        <v>0</v>
      </c>
      <c r="Y23" s="30">
        <v>0</v>
      </c>
      <c r="Z23" s="30">
        <v>0</v>
      </c>
      <c r="AA23" s="30">
        <v>0</v>
      </c>
      <c r="AB23" s="30">
        <v>0</v>
      </c>
      <c r="AC23" s="30">
        <v>0</v>
      </c>
      <c r="AD23" s="30">
        <v>0</v>
      </c>
      <c r="AE23" s="30">
        <v>0</v>
      </c>
      <c r="AF23" s="30">
        <v>0</v>
      </c>
      <c r="AG23" s="30">
        <v>0</v>
      </c>
      <c r="AH23" s="30">
        <v>0</v>
      </c>
      <c r="AI23" s="30">
        <v>0</v>
      </c>
      <c r="AJ23" s="30">
        <v>0</v>
      </c>
      <c r="AK23" s="30">
        <v>0</v>
      </c>
      <c r="AL23" s="30">
        <v>0</v>
      </c>
      <c r="AM23" s="30">
        <v>0</v>
      </c>
      <c r="AN23" s="30">
        <v>0</v>
      </c>
      <c r="AO23" s="30">
        <v>0</v>
      </c>
      <c r="AP23" s="30">
        <v>0</v>
      </c>
      <c r="AQ23" s="30">
        <v>0</v>
      </c>
      <c r="AR23" s="2"/>
      <c r="AS23" s="2"/>
      <c r="AT23" s="2"/>
      <c r="AU23" s="2"/>
      <c r="AV23" s="2"/>
      <c r="AW23" s="2"/>
      <c r="AX23" s="2"/>
      <c r="AY23" s="2"/>
      <c r="AZ23" s="2"/>
      <c r="BA23" s="2"/>
    </row>
    <row r="24" spans="1:53" ht="17.100000000000001" customHeight="1" thickTop="1" thickBot="1" x14ac:dyDescent="0.3">
      <c r="A24" s="8" t="str">
        <f>Sliders!A23</f>
        <v>Homelessness</v>
      </c>
      <c r="B24" s="25">
        <v>0.3</v>
      </c>
      <c r="C24" s="24">
        <v>7.0000000000000007E-2</v>
      </c>
      <c r="D24" s="25">
        <v>-0.2</v>
      </c>
      <c r="E24" s="25">
        <v>0</v>
      </c>
      <c r="F24" s="25">
        <v>0.24</v>
      </c>
      <c r="G24" s="25">
        <v>0.36</v>
      </c>
      <c r="H24" s="25">
        <v>7.0000000000000007E-2</v>
      </c>
      <c r="I24" s="25">
        <v>0</v>
      </c>
      <c r="J24" s="23">
        <v>0.2</v>
      </c>
      <c r="K24" s="23">
        <v>0</v>
      </c>
      <c r="L24" s="25">
        <v>-0.01</v>
      </c>
      <c r="M24" s="25">
        <v>0</v>
      </c>
      <c r="N24" s="25">
        <v>-0.05</v>
      </c>
      <c r="O24" s="25">
        <v>-0.4</v>
      </c>
      <c r="P24" s="25">
        <v>0.09</v>
      </c>
      <c r="Q24" s="30">
        <v>0</v>
      </c>
      <c r="R24" s="30">
        <v>0</v>
      </c>
      <c r="S24" s="30">
        <v>0</v>
      </c>
      <c r="T24" s="30">
        <v>0</v>
      </c>
      <c r="U24" s="30">
        <v>0</v>
      </c>
      <c r="V24" s="30">
        <v>0</v>
      </c>
      <c r="W24" s="30">
        <v>0</v>
      </c>
      <c r="X24" s="30">
        <v>1</v>
      </c>
      <c r="Y24" s="30">
        <v>0</v>
      </c>
      <c r="Z24" s="30">
        <v>0</v>
      </c>
      <c r="AA24" s="30">
        <v>0</v>
      </c>
      <c r="AB24" s="30">
        <v>0</v>
      </c>
      <c r="AC24" s="30">
        <v>0</v>
      </c>
      <c r="AD24" s="30">
        <v>0</v>
      </c>
      <c r="AE24" s="30">
        <v>0</v>
      </c>
      <c r="AF24" s="30">
        <v>0</v>
      </c>
      <c r="AG24" s="30">
        <v>0</v>
      </c>
      <c r="AH24" s="30">
        <v>0</v>
      </c>
      <c r="AI24" s="30">
        <v>0</v>
      </c>
      <c r="AJ24" s="30">
        <v>0</v>
      </c>
      <c r="AK24" s="30">
        <v>0</v>
      </c>
      <c r="AL24" s="30">
        <v>0</v>
      </c>
      <c r="AM24" s="30">
        <v>0</v>
      </c>
      <c r="AN24" s="30">
        <v>0</v>
      </c>
      <c r="AO24" s="30">
        <v>0</v>
      </c>
      <c r="AP24" s="30">
        <v>0</v>
      </c>
      <c r="AQ24" s="30">
        <v>0</v>
      </c>
      <c r="AR24" s="2"/>
      <c r="AS24" s="2"/>
      <c r="AT24" s="2"/>
      <c r="AU24" s="2"/>
      <c r="AV24" s="2"/>
      <c r="AW24" s="2"/>
      <c r="AX24" s="2"/>
      <c r="AY24" s="2"/>
      <c r="AZ24" s="2"/>
      <c r="BA24" s="2"/>
    </row>
    <row r="25" spans="1:53" ht="17.100000000000001" customHeight="1" thickTop="1" thickBot="1" x14ac:dyDescent="0.3">
      <c r="A25" s="8" t="str">
        <f>Sliders!A24</f>
        <v>Immigration</v>
      </c>
      <c r="B25" s="25">
        <v>-7.0000000000000007E-2</v>
      </c>
      <c r="C25" s="24">
        <v>0.21</v>
      </c>
      <c r="D25" s="25">
        <v>-0.31</v>
      </c>
      <c r="E25" s="25">
        <v>0</v>
      </c>
      <c r="F25" s="25">
        <v>-0.22</v>
      </c>
      <c r="G25" s="25">
        <v>-0.11</v>
      </c>
      <c r="H25" s="25">
        <v>0</v>
      </c>
      <c r="I25" s="25">
        <v>0</v>
      </c>
      <c r="J25" s="25">
        <v>-0.23</v>
      </c>
      <c r="K25" s="25">
        <v>0.01</v>
      </c>
      <c r="L25" s="25">
        <v>0.3</v>
      </c>
      <c r="M25" s="25">
        <v>0</v>
      </c>
      <c r="N25" s="25">
        <v>0.06</v>
      </c>
      <c r="O25" s="25">
        <v>0.04</v>
      </c>
      <c r="P25" s="25">
        <v>0</v>
      </c>
      <c r="Q25" s="30">
        <v>0</v>
      </c>
      <c r="R25" s="30">
        <v>0</v>
      </c>
      <c r="S25" s="30">
        <v>0</v>
      </c>
      <c r="T25" s="30">
        <v>0</v>
      </c>
      <c r="U25" s="30">
        <v>0</v>
      </c>
      <c r="V25" s="30">
        <v>0</v>
      </c>
      <c r="W25" s="30">
        <v>0</v>
      </c>
      <c r="X25" s="30">
        <v>0</v>
      </c>
      <c r="Y25" s="30">
        <v>1</v>
      </c>
      <c r="Z25" s="30">
        <v>0</v>
      </c>
      <c r="AA25" s="30">
        <v>0</v>
      </c>
      <c r="AB25" s="30">
        <v>0</v>
      </c>
      <c r="AC25" s="30">
        <v>0</v>
      </c>
      <c r="AD25" s="30">
        <v>0</v>
      </c>
      <c r="AE25" s="30">
        <v>0</v>
      </c>
      <c r="AF25" s="30">
        <v>0</v>
      </c>
      <c r="AG25" s="30">
        <v>0</v>
      </c>
      <c r="AH25" s="30">
        <v>0</v>
      </c>
      <c r="AI25" s="30">
        <v>0</v>
      </c>
      <c r="AJ25" s="30">
        <v>0</v>
      </c>
      <c r="AK25" s="30">
        <v>0</v>
      </c>
      <c r="AL25" s="30">
        <v>0</v>
      </c>
      <c r="AM25" s="30">
        <v>0</v>
      </c>
      <c r="AN25" s="30">
        <v>0</v>
      </c>
      <c r="AO25" s="30">
        <v>0</v>
      </c>
      <c r="AP25" s="30">
        <v>0</v>
      </c>
      <c r="AQ25" s="30">
        <v>0</v>
      </c>
      <c r="AR25" s="2"/>
      <c r="AS25" s="2"/>
      <c r="AT25" s="2"/>
      <c r="AU25" s="2"/>
      <c r="AV25" s="2"/>
      <c r="AW25" s="2"/>
      <c r="AX25" s="2"/>
      <c r="AY25" s="2"/>
      <c r="AZ25" s="2"/>
      <c r="BA25" s="2"/>
    </row>
    <row r="26" spans="1:53" ht="17.100000000000001" customHeight="1" thickTop="1" thickBot="1" x14ac:dyDescent="0.3">
      <c r="A26" s="8" t="str">
        <f>Sliders!A25</f>
        <v>Infrastructure</v>
      </c>
      <c r="B26" s="25">
        <v>0</v>
      </c>
      <c r="C26" s="24">
        <v>0.38</v>
      </c>
      <c r="D26" s="25">
        <v>-0.15</v>
      </c>
      <c r="E26" s="25">
        <v>0.05</v>
      </c>
      <c r="F26" s="25">
        <v>-0.3</v>
      </c>
      <c r="G26" s="25">
        <v>0</v>
      </c>
      <c r="H26" s="25">
        <v>-0.12</v>
      </c>
      <c r="I26" s="25">
        <v>0</v>
      </c>
      <c r="J26" s="25">
        <v>-0.16</v>
      </c>
      <c r="K26" s="25">
        <v>0</v>
      </c>
      <c r="L26" s="25">
        <v>0</v>
      </c>
      <c r="M26" s="25">
        <v>0</v>
      </c>
      <c r="N26" s="25">
        <v>0</v>
      </c>
      <c r="O26" s="25">
        <v>0</v>
      </c>
      <c r="P26" s="25">
        <v>0.32</v>
      </c>
      <c r="Q26" s="30">
        <v>0</v>
      </c>
      <c r="R26" s="30">
        <v>0</v>
      </c>
      <c r="S26" s="30">
        <v>0</v>
      </c>
      <c r="T26" s="30">
        <v>0</v>
      </c>
      <c r="U26" s="30">
        <v>0</v>
      </c>
      <c r="V26" s="30">
        <v>0</v>
      </c>
      <c r="W26" s="30">
        <v>0</v>
      </c>
      <c r="X26" s="30">
        <v>0</v>
      </c>
      <c r="Y26" s="30">
        <v>0</v>
      </c>
      <c r="Z26" s="30">
        <v>1</v>
      </c>
      <c r="AA26" s="30">
        <v>0</v>
      </c>
      <c r="AB26" s="30">
        <v>0</v>
      </c>
      <c r="AC26" s="30">
        <v>0</v>
      </c>
      <c r="AD26" s="30">
        <v>0</v>
      </c>
      <c r="AE26" s="30">
        <v>0</v>
      </c>
      <c r="AF26" s="30">
        <v>0</v>
      </c>
      <c r="AG26" s="30">
        <v>0</v>
      </c>
      <c r="AH26" s="30">
        <v>0</v>
      </c>
      <c r="AI26" s="30">
        <v>0</v>
      </c>
      <c r="AJ26" s="30">
        <v>0</v>
      </c>
      <c r="AK26" s="30">
        <v>0</v>
      </c>
      <c r="AL26" s="30">
        <v>0</v>
      </c>
      <c r="AM26" s="30">
        <v>0</v>
      </c>
      <c r="AN26" s="30">
        <v>0</v>
      </c>
      <c r="AO26" s="30">
        <v>0</v>
      </c>
      <c r="AP26" s="30">
        <v>0</v>
      </c>
      <c r="AQ26" s="30">
        <v>0</v>
      </c>
      <c r="AR26" s="2"/>
      <c r="AS26" s="2"/>
      <c r="AT26" s="2"/>
      <c r="AU26" s="2"/>
      <c r="AV26" s="2"/>
      <c r="AW26" s="2"/>
      <c r="AX26" s="2"/>
      <c r="AY26" s="2"/>
      <c r="AZ26" s="2"/>
      <c r="BA26" s="2"/>
    </row>
    <row r="27" spans="1:53" ht="17.100000000000001" customHeight="1" thickTop="1" thickBot="1" x14ac:dyDescent="0.3">
      <c r="A27" s="8" t="str">
        <f>Sliders!A26</f>
        <v>Innovation</v>
      </c>
      <c r="B27" s="25">
        <v>-0.2</v>
      </c>
      <c r="C27" s="24">
        <v>0.33</v>
      </c>
      <c r="D27" s="25">
        <v>-0.16</v>
      </c>
      <c r="E27" s="25">
        <v>0</v>
      </c>
      <c r="F27" s="25">
        <v>-0.15</v>
      </c>
      <c r="G27" s="25">
        <v>-0.16</v>
      </c>
      <c r="H27" s="25">
        <v>0</v>
      </c>
      <c r="I27" s="25">
        <v>0.04</v>
      </c>
      <c r="J27" s="25">
        <v>-0.03</v>
      </c>
      <c r="K27" s="25">
        <v>0.09</v>
      </c>
      <c r="L27" s="25">
        <v>0.26</v>
      </c>
      <c r="M27" s="25">
        <v>0.05</v>
      </c>
      <c r="N27" s="25">
        <v>0.4</v>
      </c>
      <c r="O27" s="25">
        <v>0</v>
      </c>
      <c r="P27" s="25">
        <v>0.22</v>
      </c>
      <c r="Q27" s="30">
        <v>0</v>
      </c>
      <c r="R27" s="30">
        <v>0</v>
      </c>
      <c r="S27" s="30">
        <v>0</v>
      </c>
      <c r="T27" s="30">
        <v>0</v>
      </c>
      <c r="U27" s="30">
        <v>0</v>
      </c>
      <c r="V27" s="30">
        <v>0</v>
      </c>
      <c r="W27" s="30">
        <v>0</v>
      </c>
      <c r="X27" s="30">
        <v>0</v>
      </c>
      <c r="Y27" s="30">
        <v>0</v>
      </c>
      <c r="Z27" s="30">
        <v>0</v>
      </c>
      <c r="AA27" s="30">
        <v>1</v>
      </c>
      <c r="AB27" s="30">
        <v>0</v>
      </c>
      <c r="AC27" s="30">
        <v>0</v>
      </c>
      <c r="AD27" s="30">
        <v>0</v>
      </c>
      <c r="AE27" s="30">
        <v>0</v>
      </c>
      <c r="AF27" s="30">
        <v>0</v>
      </c>
      <c r="AG27" s="30">
        <v>0</v>
      </c>
      <c r="AH27" s="30">
        <v>0</v>
      </c>
      <c r="AI27" s="30">
        <v>0</v>
      </c>
      <c r="AJ27" s="30">
        <v>0</v>
      </c>
      <c r="AK27" s="30">
        <v>0</v>
      </c>
      <c r="AL27" s="30">
        <v>0</v>
      </c>
      <c r="AM27" s="30">
        <v>0</v>
      </c>
      <c r="AN27" s="30">
        <v>0</v>
      </c>
      <c r="AO27" s="30">
        <v>0</v>
      </c>
      <c r="AP27" s="30">
        <v>0</v>
      </c>
      <c r="AQ27" s="30">
        <v>0</v>
      </c>
      <c r="AR27" s="2"/>
      <c r="AS27" s="2"/>
      <c r="AT27" s="2"/>
      <c r="AU27" s="2"/>
      <c r="AV27" s="2"/>
      <c r="AW27" s="2"/>
      <c r="AX27" s="2"/>
      <c r="AY27" s="2"/>
      <c r="AZ27" s="2"/>
      <c r="BA27" s="2"/>
    </row>
    <row r="28" spans="1:53" ht="17.100000000000001" customHeight="1" thickTop="1" thickBot="1" x14ac:dyDescent="0.3">
      <c r="A28" s="8" t="str">
        <f>Sliders!A27</f>
        <v>Law Enforcement</v>
      </c>
      <c r="B28" s="25">
        <v>0.25</v>
      </c>
      <c r="C28" s="24">
        <v>-0.09</v>
      </c>
      <c r="D28" s="25">
        <v>0.22</v>
      </c>
      <c r="E28" s="25">
        <v>0</v>
      </c>
      <c r="F28" s="25">
        <v>-0.3</v>
      </c>
      <c r="G28" s="25">
        <v>7.0000000000000007E-2</v>
      </c>
      <c r="H28" s="25">
        <v>0.26</v>
      </c>
      <c r="I28" s="25">
        <v>0</v>
      </c>
      <c r="J28" s="25">
        <v>-0.1</v>
      </c>
      <c r="K28" s="25">
        <v>0.08</v>
      </c>
      <c r="L28" s="25">
        <v>0.16</v>
      </c>
      <c r="M28" s="25">
        <v>0</v>
      </c>
      <c r="N28" s="25">
        <v>0.26</v>
      </c>
      <c r="O28" s="25">
        <v>0</v>
      </c>
      <c r="P28" s="25">
        <v>0</v>
      </c>
      <c r="Q28" s="30">
        <v>0</v>
      </c>
      <c r="R28" s="30">
        <v>0</v>
      </c>
      <c r="S28" s="30">
        <v>0</v>
      </c>
      <c r="T28" s="30">
        <v>0</v>
      </c>
      <c r="U28" s="30">
        <v>0</v>
      </c>
      <c r="V28" s="30">
        <v>0</v>
      </c>
      <c r="W28" s="30">
        <v>0</v>
      </c>
      <c r="X28" s="30">
        <v>0</v>
      </c>
      <c r="Y28" s="30">
        <v>0</v>
      </c>
      <c r="Z28" s="30">
        <v>0</v>
      </c>
      <c r="AA28" s="30">
        <v>0</v>
      </c>
      <c r="AB28" s="30">
        <v>1</v>
      </c>
      <c r="AC28" s="30">
        <v>0</v>
      </c>
      <c r="AD28" s="30">
        <v>0</v>
      </c>
      <c r="AE28" s="30">
        <v>0</v>
      </c>
      <c r="AF28" s="30">
        <v>0</v>
      </c>
      <c r="AG28" s="30">
        <v>0</v>
      </c>
      <c r="AH28" s="30">
        <v>0</v>
      </c>
      <c r="AI28" s="30">
        <v>0</v>
      </c>
      <c r="AJ28" s="30">
        <v>0</v>
      </c>
      <c r="AK28" s="30">
        <v>0</v>
      </c>
      <c r="AL28" s="30">
        <v>0</v>
      </c>
      <c r="AM28" s="30">
        <v>0</v>
      </c>
      <c r="AN28" s="30">
        <v>0</v>
      </c>
      <c r="AO28" s="30">
        <v>0</v>
      </c>
      <c r="AP28" s="30">
        <v>0</v>
      </c>
      <c r="AQ28" s="30">
        <v>0</v>
      </c>
      <c r="AR28" s="2"/>
      <c r="AS28" s="2"/>
      <c r="AT28" s="2"/>
      <c r="AU28" s="2"/>
      <c r="AV28" s="2"/>
      <c r="AW28" s="2"/>
      <c r="AX28" s="2"/>
      <c r="AY28" s="2"/>
      <c r="AZ28" s="2"/>
      <c r="BA28" s="2"/>
    </row>
    <row r="29" spans="1:53" ht="17.100000000000001" customHeight="1" thickTop="1" thickBot="1" x14ac:dyDescent="0.3">
      <c r="A29" s="8" t="str">
        <f>Sliders!A28</f>
        <v>Liberty</v>
      </c>
      <c r="B29" s="25">
        <v>-0.21</v>
      </c>
      <c r="C29" s="24">
        <v>0.25</v>
      </c>
      <c r="D29" s="25">
        <v>-0.35</v>
      </c>
      <c r="E29" s="25">
        <v>0</v>
      </c>
      <c r="F29" s="25">
        <v>-0.23</v>
      </c>
      <c r="G29" s="25">
        <v>0</v>
      </c>
      <c r="H29" s="25">
        <v>-0.31</v>
      </c>
      <c r="I29" s="25">
        <v>0</v>
      </c>
      <c r="J29" s="25">
        <v>-0.34</v>
      </c>
      <c r="K29" s="25">
        <v>0.12</v>
      </c>
      <c r="L29" s="25">
        <v>0.09</v>
      </c>
      <c r="M29" s="25">
        <v>0</v>
      </c>
      <c r="N29" s="25">
        <v>0.19</v>
      </c>
      <c r="O29" s="25">
        <v>0</v>
      </c>
      <c r="P29" s="25">
        <v>0</v>
      </c>
      <c r="Q29" s="30">
        <v>0</v>
      </c>
      <c r="R29" s="30">
        <v>0</v>
      </c>
      <c r="S29" s="30">
        <v>0</v>
      </c>
      <c r="T29" s="30">
        <v>0</v>
      </c>
      <c r="U29" s="30">
        <v>0</v>
      </c>
      <c r="V29" s="30">
        <v>0</v>
      </c>
      <c r="W29" s="30">
        <v>0</v>
      </c>
      <c r="X29" s="30">
        <v>0</v>
      </c>
      <c r="Y29" s="30">
        <v>0</v>
      </c>
      <c r="Z29" s="30">
        <v>0</v>
      </c>
      <c r="AA29" s="30">
        <v>0</v>
      </c>
      <c r="AB29" s="30">
        <v>0</v>
      </c>
      <c r="AC29" s="30">
        <v>1</v>
      </c>
      <c r="AD29" s="30">
        <v>0</v>
      </c>
      <c r="AE29" s="30">
        <v>0</v>
      </c>
      <c r="AF29" s="30">
        <v>0</v>
      </c>
      <c r="AG29" s="30">
        <v>0</v>
      </c>
      <c r="AH29" s="30">
        <v>0</v>
      </c>
      <c r="AI29" s="30">
        <v>0</v>
      </c>
      <c r="AJ29" s="30">
        <v>0</v>
      </c>
      <c r="AK29" s="30">
        <v>0</v>
      </c>
      <c r="AL29" s="30">
        <v>0</v>
      </c>
      <c r="AM29" s="30">
        <v>0</v>
      </c>
      <c r="AN29" s="30">
        <v>0</v>
      </c>
      <c r="AO29" s="30">
        <v>0</v>
      </c>
      <c r="AP29" s="30">
        <v>0</v>
      </c>
      <c r="AQ29" s="30">
        <v>0</v>
      </c>
      <c r="AR29" s="2"/>
      <c r="AS29" s="2"/>
      <c r="AT29" s="2"/>
      <c r="AU29" s="2"/>
      <c r="AV29" s="2"/>
      <c r="AW29" s="2"/>
      <c r="AX29" s="2"/>
      <c r="AY29" s="2"/>
      <c r="AZ29" s="2"/>
      <c r="BA29" s="2"/>
    </row>
    <row r="30" spans="1:53" ht="17.100000000000001" customHeight="1" thickTop="1" thickBot="1" x14ac:dyDescent="0.3">
      <c r="A30" s="8" t="str">
        <f>Sliders!A29</f>
        <v>Market Freedom</v>
      </c>
      <c r="B30" s="25">
        <v>-0.11</v>
      </c>
      <c r="C30" s="24">
        <v>0.27</v>
      </c>
      <c r="D30" s="25">
        <v>-0.18</v>
      </c>
      <c r="E30" s="25">
        <v>0</v>
      </c>
      <c r="F30" s="25">
        <v>-0.21</v>
      </c>
      <c r="G30" s="25">
        <v>0</v>
      </c>
      <c r="H30" s="25">
        <v>-0.18</v>
      </c>
      <c r="I30" s="25">
        <v>0</v>
      </c>
      <c r="J30" s="25">
        <v>-0.2</v>
      </c>
      <c r="K30" s="25">
        <v>0.03</v>
      </c>
      <c r="L30" s="25">
        <v>0.12</v>
      </c>
      <c r="M30" s="25">
        <v>0</v>
      </c>
      <c r="N30" s="25">
        <v>0.16</v>
      </c>
      <c r="O30" s="25">
        <v>0</v>
      </c>
      <c r="P30" s="25">
        <v>0</v>
      </c>
      <c r="Q30" s="30">
        <v>0</v>
      </c>
      <c r="R30" s="30">
        <v>0</v>
      </c>
      <c r="S30" s="30">
        <v>0</v>
      </c>
      <c r="T30" s="30">
        <v>0</v>
      </c>
      <c r="U30" s="30">
        <v>0</v>
      </c>
      <c r="V30" s="30">
        <v>0</v>
      </c>
      <c r="W30" s="30">
        <v>0</v>
      </c>
      <c r="X30" s="30">
        <v>0</v>
      </c>
      <c r="Y30" s="30">
        <v>0</v>
      </c>
      <c r="Z30" s="30">
        <v>0</v>
      </c>
      <c r="AA30" s="30">
        <v>0</v>
      </c>
      <c r="AB30" s="30">
        <v>0</v>
      </c>
      <c r="AC30" s="30">
        <v>0</v>
      </c>
      <c r="AD30" s="30">
        <v>1</v>
      </c>
      <c r="AE30" s="30">
        <v>0</v>
      </c>
      <c r="AF30" s="30">
        <v>0</v>
      </c>
      <c r="AG30" s="30">
        <v>0</v>
      </c>
      <c r="AH30" s="30">
        <v>0</v>
      </c>
      <c r="AI30" s="30">
        <v>0</v>
      </c>
      <c r="AJ30" s="30">
        <v>0</v>
      </c>
      <c r="AK30" s="30">
        <v>0</v>
      </c>
      <c r="AL30" s="30">
        <v>0</v>
      </c>
      <c r="AM30" s="30">
        <v>0</v>
      </c>
      <c r="AN30" s="30">
        <v>0</v>
      </c>
      <c r="AO30" s="30">
        <v>0</v>
      </c>
      <c r="AP30" s="30">
        <v>0</v>
      </c>
      <c r="AQ30" s="30">
        <v>0</v>
      </c>
      <c r="AR30" s="2"/>
      <c r="AS30" s="2"/>
      <c r="AT30" s="2"/>
      <c r="AU30" s="2"/>
      <c r="AV30" s="2"/>
      <c r="AW30" s="2"/>
      <c r="AX30" s="2"/>
      <c r="AY30" s="2"/>
      <c r="AZ30" s="2"/>
      <c r="BA30" s="2"/>
    </row>
    <row r="31" spans="1:53" ht="17.100000000000001" customHeight="1" thickTop="1" thickBot="1" x14ac:dyDescent="0.3">
      <c r="A31" s="8" t="str">
        <f>Sliders!A30</f>
        <v>Mental Health</v>
      </c>
      <c r="B31" s="25">
        <v>-0.35</v>
      </c>
      <c r="C31" s="24">
        <v>-0.15</v>
      </c>
      <c r="D31" s="25">
        <v>-0.13</v>
      </c>
      <c r="E31" s="25">
        <v>0.01</v>
      </c>
      <c r="F31" s="25">
        <v>-0.13</v>
      </c>
      <c r="G31" s="25">
        <v>-0.19</v>
      </c>
      <c r="H31" s="25">
        <v>-0.1</v>
      </c>
      <c r="I31" s="25">
        <v>-0.06</v>
      </c>
      <c r="J31" s="25">
        <v>-0.24</v>
      </c>
      <c r="K31" s="25">
        <v>0.02</v>
      </c>
      <c r="L31" s="25">
        <v>0.1</v>
      </c>
      <c r="M31" s="25">
        <v>-0.09</v>
      </c>
      <c r="N31" s="25">
        <v>0.15</v>
      </c>
      <c r="O31" s="25">
        <v>0.27</v>
      </c>
      <c r="P31" s="25">
        <v>0.03</v>
      </c>
      <c r="Q31" s="30">
        <v>0</v>
      </c>
      <c r="R31" s="30">
        <v>0</v>
      </c>
      <c r="S31" s="30">
        <v>0</v>
      </c>
      <c r="T31" s="30">
        <v>0</v>
      </c>
      <c r="U31" s="30">
        <v>0</v>
      </c>
      <c r="V31" s="30">
        <v>0</v>
      </c>
      <c r="W31" s="30">
        <v>0</v>
      </c>
      <c r="X31" s="30">
        <v>0</v>
      </c>
      <c r="Y31" s="30">
        <v>0</v>
      </c>
      <c r="Z31" s="30">
        <v>0</v>
      </c>
      <c r="AA31" s="30">
        <v>0</v>
      </c>
      <c r="AB31" s="30">
        <v>0</v>
      </c>
      <c r="AC31" s="30">
        <v>0</v>
      </c>
      <c r="AD31" s="30">
        <v>0</v>
      </c>
      <c r="AE31" s="30">
        <v>1</v>
      </c>
      <c r="AF31" s="30">
        <v>0</v>
      </c>
      <c r="AG31" s="30">
        <v>0</v>
      </c>
      <c r="AH31" s="30">
        <v>0</v>
      </c>
      <c r="AI31" s="30">
        <v>0</v>
      </c>
      <c r="AJ31" s="30">
        <v>0</v>
      </c>
      <c r="AK31" s="30">
        <v>0</v>
      </c>
      <c r="AL31" s="30">
        <v>0</v>
      </c>
      <c r="AM31" s="30">
        <v>0</v>
      </c>
      <c r="AN31" s="30">
        <v>0</v>
      </c>
      <c r="AO31" s="30">
        <v>0</v>
      </c>
      <c r="AP31" s="30">
        <v>0</v>
      </c>
      <c r="AQ31" s="30">
        <v>0</v>
      </c>
      <c r="AR31" s="2"/>
      <c r="AS31" s="2"/>
      <c r="AT31" s="2"/>
      <c r="AU31" s="2"/>
      <c r="AV31" s="2"/>
      <c r="AW31" s="2"/>
      <c r="AX31" s="2"/>
      <c r="AY31" s="2"/>
      <c r="AZ31" s="2"/>
      <c r="BA31" s="2"/>
    </row>
    <row r="32" spans="1:53" ht="17.100000000000001" customHeight="1" thickTop="1" thickBot="1" x14ac:dyDescent="0.3">
      <c r="A32" s="8" t="str">
        <f>Sliders!A31</f>
        <v>Military</v>
      </c>
      <c r="B32" s="25">
        <v>-0.16</v>
      </c>
      <c r="C32" s="24">
        <v>0</v>
      </c>
      <c r="D32" s="25">
        <v>0.22</v>
      </c>
      <c r="E32" s="25">
        <v>0</v>
      </c>
      <c r="F32" s="25">
        <v>-0.23</v>
      </c>
      <c r="G32" s="25">
        <v>0</v>
      </c>
      <c r="H32" s="25">
        <v>0</v>
      </c>
      <c r="I32" s="25">
        <v>0</v>
      </c>
      <c r="J32" s="25">
        <v>0</v>
      </c>
      <c r="K32" s="25">
        <v>0</v>
      </c>
      <c r="L32" s="25">
        <v>0.03</v>
      </c>
      <c r="M32" s="25">
        <v>0</v>
      </c>
      <c r="N32" s="25">
        <v>0.28999999999999998</v>
      </c>
      <c r="O32" s="25">
        <v>0</v>
      </c>
      <c r="P32" s="25">
        <v>0.16</v>
      </c>
      <c r="Q32" s="30">
        <v>0</v>
      </c>
      <c r="R32" s="30">
        <v>0</v>
      </c>
      <c r="S32" s="30">
        <v>0</v>
      </c>
      <c r="T32" s="30">
        <v>0</v>
      </c>
      <c r="U32" s="30">
        <v>0</v>
      </c>
      <c r="V32" s="30">
        <v>0</v>
      </c>
      <c r="W32" s="30">
        <v>0</v>
      </c>
      <c r="X32" s="30">
        <v>0</v>
      </c>
      <c r="Y32" s="30">
        <v>0</v>
      </c>
      <c r="Z32" s="30">
        <v>0</v>
      </c>
      <c r="AA32" s="30">
        <v>0</v>
      </c>
      <c r="AB32" s="30">
        <v>0</v>
      </c>
      <c r="AC32" s="30">
        <v>0</v>
      </c>
      <c r="AD32" s="30">
        <v>0</v>
      </c>
      <c r="AE32" s="30">
        <v>0</v>
      </c>
      <c r="AF32" s="30">
        <v>1</v>
      </c>
      <c r="AG32" s="30">
        <v>0</v>
      </c>
      <c r="AH32" s="30">
        <v>0</v>
      </c>
      <c r="AI32" s="30">
        <v>0</v>
      </c>
      <c r="AJ32" s="30">
        <v>0</v>
      </c>
      <c r="AK32" s="30">
        <v>0</v>
      </c>
      <c r="AL32" s="30">
        <v>0</v>
      </c>
      <c r="AM32" s="30">
        <v>0</v>
      </c>
      <c r="AN32" s="30">
        <v>0</v>
      </c>
      <c r="AO32" s="30">
        <v>0</v>
      </c>
      <c r="AP32" s="30">
        <v>0</v>
      </c>
      <c r="AQ32" s="30">
        <v>0</v>
      </c>
      <c r="AR32" s="2"/>
      <c r="AS32" s="2"/>
      <c r="AT32" s="2"/>
      <c r="AU32" s="2"/>
      <c r="AV32" s="2"/>
      <c r="AW32" s="2"/>
      <c r="AX32" s="2"/>
      <c r="AY32" s="2"/>
      <c r="AZ32" s="2"/>
      <c r="BA32" s="2"/>
    </row>
    <row r="33" spans="1:53" ht="17.100000000000001" customHeight="1" thickTop="1" thickBot="1" x14ac:dyDescent="0.3">
      <c r="A33" s="8" t="str">
        <f>Sliders!A32</f>
        <v>Minimum Wage</v>
      </c>
      <c r="B33" s="25">
        <v>0</v>
      </c>
      <c r="C33" s="24">
        <v>0.28000000000000003</v>
      </c>
      <c r="D33" s="25">
        <v>-0.05</v>
      </c>
      <c r="E33" s="25">
        <v>0</v>
      </c>
      <c r="F33" s="25">
        <v>0</v>
      </c>
      <c r="G33" s="25">
        <v>0.23</v>
      </c>
      <c r="H33" s="25">
        <v>0</v>
      </c>
      <c r="I33" s="25">
        <v>0</v>
      </c>
      <c r="J33" s="25">
        <v>-0.16</v>
      </c>
      <c r="K33" s="25">
        <v>0</v>
      </c>
      <c r="L33" s="25">
        <v>-0.13</v>
      </c>
      <c r="M33" s="25">
        <v>0</v>
      </c>
      <c r="N33" s="25">
        <v>-0.06</v>
      </c>
      <c r="O33" s="25">
        <v>0</v>
      </c>
      <c r="P33" s="25">
        <v>0</v>
      </c>
      <c r="Q33" s="30">
        <v>0</v>
      </c>
      <c r="R33" s="30">
        <v>0</v>
      </c>
      <c r="S33" s="30">
        <v>0</v>
      </c>
      <c r="T33" s="30">
        <v>0</v>
      </c>
      <c r="U33" s="30">
        <v>0</v>
      </c>
      <c r="V33" s="30">
        <v>0</v>
      </c>
      <c r="W33" s="30">
        <v>0</v>
      </c>
      <c r="X33" s="30">
        <v>0</v>
      </c>
      <c r="Y33" s="30">
        <v>0</v>
      </c>
      <c r="Z33" s="30">
        <v>0</v>
      </c>
      <c r="AA33" s="30">
        <v>0</v>
      </c>
      <c r="AB33" s="30">
        <v>0</v>
      </c>
      <c r="AC33" s="30">
        <v>0</v>
      </c>
      <c r="AD33" s="30">
        <v>0</v>
      </c>
      <c r="AE33" s="30">
        <v>0</v>
      </c>
      <c r="AF33" s="30">
        <v>0</v>
      </c>
      <c r="AG33" s="30">
        <v>1</v>
      </c>
      <c r="AH33" s="30">
        <v>0</v>
      </c>
      <c r="AI33" s="30">
        <v>0</v>
      </c>
      <c r="AJ33" s="30">
        <v>0</v>
      </c>
      <c r="AK33" s="30">
        <v>0</v>
      </c>
      <c r="AL33" s="30">
        <v>0</v>
      </c>
      <c r="AM33" s="30">
        <v>0</v>
      </c>
      <c r="AN33" s="30">
        <v>0</v>
      </c>
      <c r="AO33" s="30">
        <v>0</v>
      </c>
      <c r="AP33" s="30">
        <v>0</v>
      </c>
      <c r="AQ33" s="30">
        <v>0</v>
      </c>
      <c r="AR33" s="2"/>
      <c r="AS33" s="2"/>
      <c r="AT33" s="2"/>
      <c r="AU33" s="2"/>
      <c r="AV33" s="2"/>
      <c r="AW33" s="2"/>
      <c r="AX33" s="2"/>
      <c r="AY33" s="2"/>
      <c r="AZ33" s="2"/>
      <c r="BA33" s="2"/>
    </row>
    <row r="34" spans="1:53" ht="17.100000000000001" customHeight="1" thickTop="1" thickBot="1" x14ac:dyDescent="0.3">
      <c r="A34" s="8" t="str">
        <f>Sliders!A33</f>
        <v>Pollution</v>
      </c>
      <c r="B34" s="25">
        <v>0</v>
      </c>
      <c r="C34" s="24">
        <v>0.31</v>
      </c>
      <c r="D34" s="25">
        <v>0.17</v>
      </c>
      <c r="E34" s="25">
        <v>0.04</v>
      </c>
      <c r="F34" s="25">
        <v>0.14000000000000001</v>
      </c>
      <c r="G34" s="25">
        <v>0</v>
      </c>
      <c r="H34" s="25">
        <v>0.02</v>
      </c>
      <c r="I34" s="25">
        <v>0</v>
      </c>
      <c r="J34" s="25">
        <v>0.02</v>
      </c>
      <c r="K34" s="25">
        <v>-0.01</v>
      </c>
      <c r="L34" s="25">
        <v>-0.08</v>
      </c>
      <c r="M34" s="25">
        <v>-0.12</v>
      </c>
      <c r="N34" s="25">
        <v>-0.15</v>
      </c>
      <c r="O34" s="25">
        <v>0.13</v>
      </c>
      <c r="P34" s="25">
        <v>0.4</v>
      </c>
      <c r="Q34" s="30">
        <v>0</v>
      </c>
      <c r="R34" s="30">
        <v>0</v>
      </c>
      <c r="S34" s="30">
        <v>0</v>
      </c>
      <c r="T34" s="30">
        <v>0</v>
      </c>
      <c r="U34" s="30">
        <v>0</v>
      </c>
      <c r="V34" s="30">
        <v>0</v>
      </c>
      <c r="W34" s="30">
        <v>0</v>
      </c>
      <c r="X34" s="30">
        <v>0</v>
      </c>
      <c r="Y34" s="30">
        <v>0</v>
      </c>
      <c r="Z34" s="30">
        <v>0</v>
      </c>
      <c r="AA34" s="30">
        <v>0</v>
      </c>
      <c r="AB34" s="30">
        <v>0</v>
      </c>
      <c r="AC34" s="30">
        <v>0</v>
      </c>
      <c r="AD34" s="30">
        <v>0</v>
      </c>
      <c r="AE34" s="30">
        <v>0</v>
      </c>
      <c r="AF34" s="30">
        <v>0</v>
      </c>
      <c r="AG34" s="30">
        <v>0</v>
      </c>
      <c r="AH34" s="30">
        <v>1</v>
      </c>
      <c r="AI34" s="30">
        <v>0</v>
      </c>
      <c r="AJ34" s="30">
        <v>0</v>
      </c>
      <c r="AK34" s="30">
        <v>0</v>
      </c>
      <c r="AL34" s="30">
        <v>0</v>
      </c>
      <c r="AM34" s="30">
        <v>0</v>
      </c>
      <c r="AN34" s="30">
        <v>0</v>
      </c>
      <c r="AO34" s="30">
        <v>0</v>
      </c>
      <c r="AP34" s="30">
        <v>0</v>
      </c>
      <c r="AQ34" s="30">
        <v>0</v>
      </c>
      <c r="AR34" s="2"/>
      <c r="AS34" s="2"/>
      <c r="AT34" s="2"/>
      <c r="AU34" s="2"/>
      <c r="AV34" s="2"/>
      <c r="AW34" s="2"/>
      <c r="AX34" s="2"/>
      <c r="AY34" s="2"/>
      <c r="AZ34" s="2"/>
      <c r="BA34" s="2"/>
    </row>
    <row r="35" spans="1:53" ht="17.100000000000001" customHeight="1" thickTop="1" thickBot="1" x14ac:dyDescent="0.3">
      <c r="A35" s="8" t="str">
        <f>Sliders!A34</f>
        <v>Poverty</v>
      </c>
      <c r="B35" s="25">
        <v>0.33</v>
      </c>
      <c r="C35" s="24">
        <v>-0.24</v>
      </c>
      <c r="D35" s="25">
        <v>-0.03</v>
      </c>
      <c r="E35" s="25">
        <v>0.12</v>
      </c>
      <c r="F35" s="25">
        <v>0.22</v>
      </c>
      <c r="G35" s="25">
        <v>0.25</v>
      </c>
      <c r="H35" s="25">
        <v>0.06</v>
      </c>
      <c r="I35" s="25">
        <v>0</v>
      </c>
      <c r="J35" s="25">
        <v>0.18</v>
      </c>
      <c r="K35" s="25">
        <v>0.13</v>
      </c>
      <c r="L35" s="25">
        <v>-0.24</v>
      </c>
      <c r="M35" s="25">
        <v>0.2</v>
      </c>
      <c r="N35" s="25">
        <v>-0.23</v>
      </c>
      <c r="O35" s="25">
        <v>-0.28000000000000003</v>
      </c>
      <c r="P35" s="25">
        <v>-7.0000000000000007E-2</v>
      </c>
      <c r="Q35" s="30">
        <v>0</v>
      </c>
      <c r="R35" s="30">
        <v>0</v>
      </c>
      <c r="S35" s="30">
        <v>0</v>
      </c>
      <c r="T35" s="30">
        <v>0</v>
      </c>
      <c r="U35" s="30">
        <v>0</v>
      </c>
      <c r="V35" s="30">
        <v>0</v>
      </c>
      <c r="W35" s="30">
        <v>0</v>
      </c>
      <c r="X35" s="30">
        <v>0</v>
      </c>
      <c r="Y35" s="30">
        <v>0</v>
      </c>
      <c r="Z35" s="30">
        <v>0</v>
      </c>
      <c r="AA35" s="30">
        <v>0</v>
      </c>
      <c r="AB35" s="30">
        <v>0</v>
      </c>
      <c r="AC35" s="30">
        <v>0</v>
      </c>
      <c r="AD35" s="30">
        <v>0</v>
      </c>
      <c r="AE35" s="30">
        <v>0</v>
      </c>
      <c r="AF35" s="30">
        <v>0</v>
      </c>
      <c r="AG35" s="30">
        <v>0</v>
      </c>
      <c r="AH35" s="30">
        <v>0</v>
      </c>
      <c r="AI35" s="30">
        <v>1</v>
      </c>
      <c r="AJ35" s="30">
        <v>0</v>
      </c>
      <c r="AK35" s="30">
        <v>0</v>
      </c>
      <c r="AL35" s="30">
        <v>0</v>
      </c>
      <c r="AM35" s="30">
        <v>0</v>
      </c>
      <c r="AN35" s="30">
        <v>0</v>
      </c>
      <c r="AO35" s="30">
        <v>0</v>
      </c>
      <c r="AP35" s="30">
        <v>0</v>
      </c>
      <c r="AQ35" s="30">
        <v>0</v>
      </c>
      <c r="AR35" s="2"/>
      <c r="AS35" s="2"/>
      <c r="AT35" s="2"/>
      <c r="AU35" s="2"/>
      <c r="AV35" s="2"/>
      <c r="AW35" s="2"/>
      <c r="AX35" s="2"/>
      <c r="AY35" s="2"/>
      <c r="AZ35" s="2"/>
      <c r="BA35" s="2"/>
    </row>
    <row r="36" spans="1:53" ht="17.100000000000001" customHeight="1" thickTop="1" thickBot="1" x14ac:dyDescent="0.3">
      <c r="A36" s="8" t="str">
        <f>Sliders!A35</f>
        <v>Public Trust</v>
      </c>
      <c r="B36" s="25">
        <v>-0.12</v>
      </c>
      <c r="C36" s="24">
        <v>0</v>
      </c>
      <c r="D36" s="25">
        <v>-0.23</v>
      </c>
      <c r="E36" s="25">
        <v>0</v>
      </c>
      <c r="F36" s="25">
        <v>-0.24</v>
      </c>
      <c r="G36" s="25">
        <v>-0.21</v>
      </c>
      <c r="H36" s="25">
        <v>-0.23</v>
      </c>
      <c r="I36" s="25">
        <v>-0.08</v>
      </c>
      <c r="J36" s="25">
        <v>-0.21</v>
      </c>
      <c r="K36" s="25">
        <v>-0.12</v>
      </c>
      <c r="L36" s="25">
        <v>0.14000000000000001</v>
      </c>
      <c r="M36" s="25">
        <v>0</v>
      </c>
      <c r="N36" s="25">
        <v>0.11</v>
      </c>
      <c r="O36" s="25">
        <v>0.09</v>
      </c>
      <c r="P36" s="25">
        <v>0</v>
      </c>
      <c r="Q36" s="30">
        <v>0</v>
      </c>
      <c r="R36" s="30">
        <v>0</v>
      </c>
      <c r="S36" s="30">
        <v>0</v>
      </c>
      <c r="T36" s="30">
        <v>0</v>
      </c>
      <c r="U36" s="30">
        <v>0</v>
      </c>
      <c r="V36" s="30">
        <v>0</v>
      </c>
      <c r="W36" s="30">
        <v>0</v>
      </c>
      <c r="X36" s="30">
        <v>0</v>
      </c>
      <c r="Y36" s="30">
        <v>0</v>
      </c>
      <c r="Z36" s="30">
        <v>0</v>
      </c>
      <c r="AA36" s="30">
        <v>0</v>
      </c>
      <c r="AB36" s="30">
        <v>0</v>
      </c>
      <c r="AC36" s="30">
        <v>0</v>
      </c>
      <c r="AD36" s="30">
        <v>0</v>
      </c>
      <c r="AE36" s="30">
        <v>0</v>
      </c>
      <c r="AF36" s="30">
        <v>0</v>
      </c>
      <c r="AG36" s="30">
        <v>0</v>
      </c>
      <c r="AH36" s="30">
        <v>0</v>
      </c>
      <c r="AI36" s="30">
        <v>0</v>
      </c>
      <c r="AJ36" s="30">
        <v>1</v>
      </c>
      <c r="AK36" s="30">
        <v>0</v>
      </c>
      <c r="AL36" s="30">
        <v>0</v>
      </c>
      <c r="AM36" s="30">
        <v>0</v>
      </c>
      <c r="AN36" s="30">
        <v>0</v>
      </c>
      <c r="AO36" s="30">
        <v>0</v>
      </c>
      <c r="AP36" s="30">
        <v>0</v>
      </c>
      <c r="AQ36" s="30">
        <v>0</v>
      </c>
      <c r="AR36" s="2"/>
      <c r="AS36" s="2"/>
      <c r="AT36" s="2"/>
      <c r="AU36" s="2"/>
      <c r="AV36" s="2"/>
      <c r="AW36" s="2"/>
      <c r="AX36" s="2"/>
      <c r="AY36" s="2"/>
      <c r="AZ36" s="2"/>
      <c r="BA36" s="2"/>
    </row>
    <row r="37" spans="1:53" ht="17.100000000000001" customHeight="1" thickTop="1" thickBot="1" x14ac:dyDescent="0.3">
      <c r="A37" s="8" t="str">
        <f>Sliders!A36</f>
        <v>Purpose/Meaning</v>
      </c>
      <c r="B37" s="25">
        <v>-0.38</v>
      </c>
      <c r="C37" s="24">
        <v>0.2</v>
      </c>
      <c r="D37" s="25">
        <v>-0.16</v>
      </c>
      <c r="E37" s="25">
        <v>0.06</v>
      </c>
      <c r="F37" s="25">
        <v>0</v>
      </c>
      <c r="G37" s="25">
        <v>-0.02</v>
      </c>
      <c r="H37" s="25">
        <v>0</v>
      </c>
      <c r="I37" s="25">
        <v>0</v>
      </c>
      <c r="J37" s="25">
        <v>-0.15</v>
      </c>
      <c r="K37" s="25">
        <v>0</v>
      </c>
      <c r="L37" s="25">
        <v>0.17</v>
      </c>
      <c r="M37" s="25">
        <v>-0.04</v>
      </c>
      <c r="N37" s="25">
        <v>0.16</v>
      </c>
      <c r="O37" s="25">
        <v>0.18</v>
      </c>
      <c r="P37" s="25">
        <v>0</v>
      </c>
      <c r="Q37" s="30">
        <v>0</v>
      </c>
      <c r="R37" s="30">
        <v>0</v>
      </c>
      <c r="S37" s="30">
        <v>0</v>
      </c>
      <c r="T37" s="30">
        <v>0</v>
      </c>
      <c r="U37" s="30">
        <v>0</v>
      </c>
      <c r="V37" s="30">
        <v>0</v>
      </c>
      <c r="W37" s="30">
        <v>0</v>
      </c>
      <c r="X37" s="30">
        <v>0</v>
      </c>
      <c r="Y37" s="30">
        <v>0</v>
      </c>
      <c r="Z37" s="30">
        <v>0</v>
      </c>
      <c r="AA37" s="30">
        <v>0</v>
      </c>
      <c r="AB37" s="30">
        <v>0</v>
      </c>
      <c r="AC37" s="30">
        <v>0</v>
      </c>
      <c r="AD37" s="30">
        <v>0</v>
      </c>
      <c r="AE37" s="30">
        <v>0</v>
      </c>
      <c r="AF37" s="30">
        <v>0</v>
      </c>
      <c r="AG37" s="30">
        <v>0</v>
      </c>
      <c r="AH37" s="30">
        <v>0</v>
      </c>
      <c r="AI37" s="30">
        <v>0</v>
      </c>
      <c r="AJ37" s="30">
        <v>0</v>
      </c>
      <c r="AK37" s="30">
        <v>1</v>
      </c>
      <c r="AL37" s="30">
        <v>0</v>
      </c>
      <c r="AM37" s="30">
        <v>0</v>
      </c>
      <c r="AN37" s="30">
        <v>0</v>
      </c>
      <c r="AO37" s="30">
        <v>0</v>
      </c>
      <c r="AP37" s="30">
        <v>0</v>
      </c>
      <c r="AQ37" s="30">
        <v>0</v>
      </c>
      <c r="AR37" s="2"/>
      <c r="AS37" s="2"/>
      <c r="AT37" s="2"/>
      <c r="AU37" s="2"/>
      <c r="AV37" s="2"/>
      <c r="AW37" s="2"/>
      <c r="AX37" s="2"/>
      <c r="AY37" s="2"/>
      <c r="AZ37" s="2"/>
      <c r="BA37" s="2"/>
    </row>
    <row r="38" spans="1:53" ht="17.100000000000001" customHeight="1" thickTop="1" thickBot="1" x14ac:dyDescent="0.3">
      <c r="A38" s="8" t="str">
        <f>Sliders!A37</f>
        <v>Religion</v>
      </c>
      <c r="B38" s="25">
        <v>-0.1</v>
      </c>
      <c r="C38" s="24">
        <v>0.3</v>
      </c>
      <c r="D38" s="25">
        <v>0.09</v>
      </c>
      <c r="E38" s="25">
        <v>0</v>
      </c>
      <c r="F38" s="25">
        <v>0</v>
      </c>
      <c r="G38" s="25">
        <v>0</v>
      </c>
      <c r="H38" s="25">
        <v>-0.14000000000000001</v>
      </c>
      <c r="I38" s="25">
        <v>0</v>
      </c>
      <c r="J38" s="25">
        <v>-0.12</v>
      </c>
      <c r="K38" s="25">
        <v>0</v>
      </c>
      <c r="L38" s="25">
        <v>-0.08</v>
      </c>
      <c r="M38" s="25">
        <v>0</v>
      </c>
      <c r="N38" s="25">
        <v>0.1</v>
      </c>
      <c r="O38" s="25">
        <v>0</v>
      </c>
      <c r="P38" s="25">
        <v>0</v>
      </c>
      <c r="Q38" s="30">
        <v>0</v>
      </c>
      <c r="R38" s="30">
        <v>0</v>
      </c>
      <c r="S38" s="30">
        <v>0</v>
      </c>
      <c r="T38" s="30">
        <v>0</v>
      </c>
      <c r="U38" s="30">
        <v>0</v>
      </c>
      <c r="V38" s="30">
        <v>0</v>
      </c>
      <c r="W38" s="30">
        <v>0</v>
      </c>
      <c r="X38" s="30">
        <v>0</v>
      </c>
      <c r="Y38" s="30">
        <v>0</v>
      </c>
      <c r="Z38" s="30">
        <v>0</v>
      </c>
      <c r="AA38" s="30">
        <v>0</v>
      </c>
      <c r="AB38" s="30">
        <v>0</v>
      </c>
      <c r="AC38" s="30">
        <v>0</v>
      </c>
      <c r="AD38" s="30">
        <v>0</v>
      </c>
      <c r="AE38" s="30">
        <v>0</v>
      </c>
      <c r="AF38" s="30">
        <v>0</v>
      </c>
      <c r="AG38" s="30">
        <v>0</v>
      </c>
      <c r="AH38" s="30">
        <v>0</v>
      </c>
      <c r="AI38" s="30">
        <v>0</v>
      </c>
      <c r="AJ38" s="30">
        <v>0</v>
      </c>
      <c r="AK38" s="30">
        <v>0</v>
      </c>
      <c r="AL38" s="30">
        <v>1</v>
      </c>
      <c r="AM38" s="30">
        <v>0</v>
      </c>
      <c r="AN38" s="30">
        <v>0</v>
      </c>
      <c r="AO38" s="30">
        <v>0</v>
      </c>
      <c r="AP38" s="30">
        <v>0</v>
      </c>
      <c r="AQ38" s="30">
        <v>0</v>
      </c>
      <c r="AR38" s="2"/>
      <c r="AS38" s="2"/>
      <c r="AT38" s="2"/>
      <c r="AU38" s="2"/>
      <c r="AV38" s="2"/>
      <c r="AW38" s="2"/>
      <c r="AX38" s="2"/>
      <c r="AY38" s="2"/>
      <c r="AZ38" s="2"/>
      <c r="BA38" s="2"/>
    </row>
    <row r="39" spans="1:53" ht="17.100000000000001" customHeight="1" thickTop="1" thickBot="1" x14ac:dyDescent="0.3">
      <c r="A39" s="8" t="str">
        <f>Sliders!A38</f>
        <v>Sickness/Disease</v>
      </c>
      <c r="B39" s="25">
        <v>0.31</v>
      </c>
      <c r="C39" s="24">
        <v>0.3</v>
      </c>
      <c r="D39" s="25">
        <v>0</v>
      </c>
      <c r="E39" s="25">
        <v>0</v>
      </c>
      <c r="F39" s="25">
        <v>0</v>
      </c>
      <c r="G39" s="25">
        <v>0.2</v>
      </c>
      <c r="H39" s="25">
        <v>0.01</v>
      </c>
      <c r="I39" s="25">
        <v>0</v>
      </c>
      <c r="J39" s="25">
        <v>7.0000000000000007E-2</v>
      </c>
      <c r="K39" s="25">
        <v>-0.05</v>
      </c>
      <c r="L39" s="25">
        <v>-0.18</v>
      </c>
      <c r="M39" s="25">
        <v>0</v>
      </c>
      <c r="N39" s="25">
        <v>-0.19</v>
      </c>
      <c r="O39" s="25">
        <v>-0.17</v>
      </c>
      <c r="P39" s="25">
        <v>-0.3</v>
      </c>
      <c r="Q39" s="30">
        <v>0</v>
      </c>
      <c r="R39" s="30">
        <v>0</v>
      </c>
      <c r="S39" s="30">
        <v>0</v>
      </c>
      <c r="T39" s="30">
        <v>0</v>
      </c>
      <c r="U39" s="30">
        <v>0</v>
      </c>
      <c r="V39" s="30">
        <v>0</v>
      </c>
      <c r="W39" s="30">
        <v>0</v>
      </c>
      <c r="X39" s="30">
        <v>0</v>
      </c>
      <c r="Y39" s="30">
        <v>0</v>
      </c>
      <c r="Z39" s="30">
        <v>0</v>
      </c>
      <c r="AA39" s="30">
        <v>0</v>
      </c>
      <c r="AB39" s="30">
        <v>0</v>
      </c>
      <c r="AC39" s="30">
        <v>0</v>
      </c>
      <c r="AD39" s="30">
        <v>0</v>
      </c>
      <c r="AE39" s="30">
        <v>0</v>
      </c>
      <c r="AF39" s="30">
        <v>0</v>
      </c>
      <c r="AG39" s="30">
        <v>0</v>
      </c>
      <c r="AH39" s="30">
        <v>0</v>
      </c>
      <c r="AI39" s="30">
        <v>0</v>
      </c>
      <c r="AJ39" s="30">
        <v>0</v>
      </c>
      <c r="AK39" s="30">
        <v>0</v>
      </c>
      <c r="AL39" s="30">
        <v>0</v>
      </c>
      <c r="AM39" s="30">
        <v>1</v>
      </c>
      <c r="AN39" s="30">
        <v>0</v>
      </c>
      <c r="AO39" s="30">
        <v>0</v>
      </c>
      <c r="AP39" s="30">
        <v>0</v>
      </c>
      <c r="AQ39" s="30">
        <v>0</v>
      </c>
      <c r="AR39" s="2"/>
      <c r="AS39" s="2"/>
      <c r="AT39" s="2"/>
      <c r="AU39" s="2"/>
      <c r="AV39" s="2"/>
      <c r="AW39" s="2"/>
      <c r="AX39" s="2"/>
      <c r="AY39" s="2"/>
      <c r="AZ39" s="2"/>
      <c r="BA39" s="2"/>
    </row>
    <row r="40" spans="1:53" ht="17.100000000000001" customHeight="1" thickTop="1" thickBot="1" x14ac:dyDescent="0.3">
      <c r="A40" s="8" t="str">
        <f>Sliders!A39</f>
        <v>Taxes</v>
      </c>
      <c r="B40" s="25">
        <v>0</v>
      </c>
      <c r="C40" s="24">
        <v>0.08</v>
      </c>
      <c r="D40" s="25">
        <v>0.21</v>
      </c>
      <c r="E40" s="25">
        <v>0</v>
      </c>
      <c r="F40" s="25">
        <v>-0.2</v>
      </c>
      <c r="G40" s="25">
        <v>0</v>
      </c>
      <c r="H40" s="25">
        <v>-0.11</v>
      </c>
      <c r="I40" s="25">
        <v>0</v>
      </c>
      <c r="J40" s="25">
        <v>-0.02</v>
      </c>
      <c r="K40" s="25">
        <v>-0.02</v>
      </c>
      <c r="L40" s="25">
        <v>0.11</v>
      </c>
      <c r="M40" s="25">
        <v>0</v>
      </c>
      <c r="N40" s="25">
        <v>0.16</v>
      </c>
      <c r="O40" s="25">
        <v>0.25</v>
      </c>
      <c r="P40" s="25">
        <v>0.24</v>
      </c>
      <c r="Q40" s="30">
        <v>0</v>
      </c>
      <c r="R40" s="30">
        <v>0</v>
      </c>
      <c r="S40" s="30">
        <v>0</v>
      </c>
      <c r="T40" s="30">
        <v>0</v>
      </c>
      <c r="U40" s="30">
        <v>0</v>
      </c>
      <c r="V40" s="30">
        <v>0</v>
      </c>
      <c r="W40" s="30">
        <v>0</v>
      </c>
      <c r="X40" s="30">
        <v>0</v>
      </c>
      <c r="Y40" s="30">
        <v>0</v>
      </c>
      <c r="Z40" s="30">
        <v>0</v>
      </c>
      <c r="AA40" s="30">
        <v>0</v>
      </c>
      <c r="AB40" s="30">
        <v>0</v>
      </c>
      <c r="AC40" s="30">
        <v>0</v>
      </c>
      <c r="AD40" s="30">
        <v>0</v>
      </c>
      <c r="AE40" s="30">
        <v>0</v>
      </c>
      <c r="AF40" s="30">
        <v>0</v>
      </c>
      <c r="AG40" s="30">
        <v>0</v>
      </c>
      <c r="AH40" s="30">
        <v>0</v>
      </c>
      <c r="AI40" s="30">
        <v>0</v>
      </c>
      <c r="AJ40" s="30">
        <v>0</v>
      </c>
      <c r="AK40" s="30">
        <v>0</v>
      </c>
      <c r="AL40" s="30">
        <v>0</v>
      </c>
      <c r="AM40" s="30">
        <v>0</v>
      </c>
      <c r="AN40" s="30">
        <v>1</v>
      </c>
      <c r="AO40" s="30">
        <v>0</v>
      </c>
      <c r="AP40" s="30">
        <v>0</v>
      </c>
      <c r="AQ40" s="30">
        <v>0</v>
      </c>
      <c r="AR40" s="2"/>
      <c r="AS40" s="2"/>
      <c r="AT40" s="2"/>
      <c r="AU40" s="2"/>
      <c r="AV40" s="2"/>
      <c r="AW40" s="2"/>
      <c r="AX40" s="2"/>
      <c r="AY40" s="2"/>
      <c r="AZ40" s="2"/>
      <c r="BA40" s="2"/>
    </row>
    <row r="41" spans="1:53" ht="17.100000000000001" customHeight="1" thickTop="1" thickBot="1" x14ac:dyDescent="0.3">
      <c r="A41" s="8" t="str">
        <f>Sliders!A40</f>
        <v>Tech</v>
      </c>
      <c r="B41" s="25">
        <v>0</v>
      </c>
      <c r="C41" s="24">
        <v>0.3</v>
      </c>
      <c r="D41" s="25">
        <v>0.16</v>
      </c>
      <c r="E41" s="25">
        <v>0</v>
      </c>
      <c r="F41" s="25">
        <v>0</v>
      </c>
      <c r="G41" s="25">
        <v>-0.13</v>
      </c>
      <c r="H41" s="25">
        <v>0</v>
      </c>
      <c r="I41" s="25">
        <v>0</v>
      </c>
      <c r="J41" s="25">
        <v>-0.01</v>
      </c>
      <c r="K41" s="25">
        <v>0</v>
      </c>
      <c r="L41" s="25">
        <v>0.13</v>
      </c>
      <c r="M41" s="25">
        <v>0</v>
      </c>
      <c r="N41" s="25">
        <v>0.23</v>
      </c>
      <c r="O41" s="25">
        <v>0.1</v>
      </c>
      <c r="P41" s="25">
        <v>0.27</v>
      </c>
      <c r="Q41" s="30">
        <v>0</v>
      </c>
      <c r="R41" s="30">
        <v>0</v>
      </c>
      <c r="S41" s="30">
        <v>0</v>
      </c>
      <c r="T41" s="30">
        <v>0</v>
      </c>
      <c r="U41" s="30">
        <v>0</v>
      </c>
      <c r="V41" s="30">
        <v>0</v>
      </c>
      <c r="W41" s="30">
        <v>0</v>
      </c>
      <c r="X41" s="30">
        <v>0</v>
      </c>
      <c r="Y41" s="30">
        <v>0</v>
      </c>
      <c r="Z41" s="30">
        <v>0</v>
      </c>
      <c r="AA41" s="30">
        <v>0</v>
      </c>
      <c r="AB41" s="30">
        <v>0</v>
      </c>
      <c r="AC41" s="30">
        <v>0</v>
      </c>
      <c r="AD41" s="30">
        <v>0</v>
      </c>
      <c r="AE41" s="30">
        <v>0</v>
      </c>
      <c r="AF41" s="30">
        <v>0</v>
      </c>
      <c r="AG41" s="30">
        <v>0</v>
      </c>
      <c r="AH41" s="30">
        <v>0</v>
      </c>
      <c r="AI41" s="30">
        <v>0</v>
      </c>
      <c r="AJ41" s="30">
        <v>0</v>
      </c>
      <c r="AK41" s="30">
        <v>0</v>
      </c>
      <c r="AL41" s="30">
        <v>0</v>
      </c>
      <c r="AM41" s="30">
        <v>0</v>
      </c>
      <c r="AN41" s="30">
        <v>0</v>
      </c>
      <c r="AO41" s="30">
        <v>1</v>
      </c>
      <c r="AP41" s="30">
        <v>0</v>
      </c>
      <c r="AQ41" s="30">
        <v>0</v>
      </c>
      <c r="AR41" s="2"/>
      <c r="AS41" s="2"/>
      <c r="AT41" s="2"/>
      <c r="AU41" s="2"/>
      <c r="AV41" s="2"/>
      <c r="AW41" s="2"/>
      <c r="AX41" s="2"/>
      <c r="AY41" s="2"/>
      <c r="AZ41" s="2"/>
      <c r="BA41" s="2"/>
    </row>
    <row r="42" spans="1:53" ht="17.100000000000001" customHeight="1" thickTop="1" thickBot="1" x14ac:dyDescent="0.3">
      <c r="A42" s="8" t="str">
        <f>Sliders!A41</f>
        <v>Transportation</v>
      </c>
      <c r="B42" s="25">
        <v>0</v>
      </c>
      <c r="C42" s="26">
        <v>0.2</v>
      </c>
      <c r="D42" s="25">
        <v>0.24</v>
      </c>
      <c r="E42" s="25">
        <v>0</v>
      </c>
      <c r="F42" s="25">
        <v>-0.1</v>
      </c>
      <c r="G42" s="25">
        <v>-0.23</v>
      </c>
      <c r="H42" s="25">
        <v>0</v>
      </c>
      <c r="I42" s="25">
        <v>0</v>
      </c>
      <c r="J42" s="25">
        <v>-0.04</v>
      </c>
      <c r="K42" s="25">
        <v>0</v>
      </c>
      <c r="L42" s="25">
        <v>0.15</v>
      </c>
      <c r="M42" s="25">
        <v>0</v>
      </c>
      <c r="N42" s="25">
        <v>0.18</v>
      </c>
      <c r="O42" s="25">
        <v>0.27</v>
      </c>
      <c r="P42" s="25">
        <v>0.28000000000000003</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1</v>
      </c>
      <c r="AQ42" s="30">
        <v>0</v>
      </c>
      <c r="AR42" s="2"/>
      <c r="AS42" s="2"/>
      <c r="AT42" s="2"/>
      <c r="AU42" s="2"/>
      <c r="AV42" s="2"/>
      <c r="AW42" s="2"/>
      <c r="AX42" s="2"/>
      <c r="AY42" s="2"/>
      <c r="AZ42" s="2"/>
      <c r="BA42" s="2"/>
    </row>
    <row r="43" spans="1:53" ht="17.100000000000001" customHeight="1" thickTop="1" thickBot="1" x14ac:dyDescent="0.3">
      <c r="A43" s="9" t="str">
        <f>Sliders!A42</f>
        <v>Welfare Support</v>
      </c>
      <c r="B43" s="25">
        <v>0.22</v>
      </c>
      <c r="C43" s="25">
        <v>0.18</v>
      </c>
      <c r="D43" s="25">
        <v>0.14000000000000001</v>
      </c>
      <c r="E43" s="25">
        <v>0.03</v>
      </c>
      <c r="F43" s="25">
        <v>-0.16</v>
      </c>
      <c r="G43" s="25">
        <v>0.3</v>
      </c>
      <c r="H43" s="25">
        <v>0</v>
      </c>
      <c r="I43" s="25">
        <v>0</v>
      </c>
      <c r="J43" s="25">
        <v>-0.17</v>
      </c>
      <c r="K43" s="25">
        <v>-0.06</v>
      </c>
      <c r="L43" s="25">
        <v>0.16</v>
      </c>
      <c r="M43" s="25">
        <v>0</v>
      </c>
      <c r="N43" s="25">
        <v>0.05</v>
      </c>
      <c r="O43" s="25">
        <v>-0.06</v>
      </c>
      <c r="P43" s="25">
        <v>0.06</v>
      </c>
      <c r="Q43" s="30">
        <v>0</v>
      </c>
      <c r="R43" s="30">
        <v>0</v>
      </c>
      <c r="S43" s="30">
        <v>0</v>
      </c>
      <c r="T43" s="30">
        <v>0</v>
      </c>
      <c r="U43" s="30">
        <v>0</v>
      </c>
      <c r="V43" s="30">
        <v>0</v>
      </c>
      <c r="W43" s="30">
        <v>0</v>
      </c>
      <c r="X43" s="30">
        <v>0</v>
      </c>
      <c r="Y43" s="30">
        <v>0</v>
      </c>
      <c r="Z43" s="30">
        <v>0</v>
      </c>
      <c r="AA43" s="30">
        <v>0</v>
      </c>
      <c r="AB43" s="30">
        <v>0</v>
      </c>
      <c r="AC43" s="30">
        <v>0</v>
      </c>
      <c r="AD43" s="30">
        <v>0</v>
      </c>
      <c r="AE43" s="30">
        <v>0</v>
      </c>
      <c r="AF43" s="30">
        <v>0</v>
      </c>
      <c r="AG43" s="30">
        <v>0</v>
      </c>
      <c r="AH43" s="30">
        <v>0</v>
      </c>
      <c r="AI43" s="30">
        <v>0</v>
      </c>
      <c r="AJ43" s="30">
        <v>0</v>
      </c>
      <c r="AK43" s="30">
        <v>0</v>
      </c>
      <c r="AL43" s="30">
        <v>0</v>
      </c>
      <c r="AM43" s="30">
        <v>0</v>
      </c>
      <c r="AN43" s="30">
        <v>0</v>
      </c>
      <c r="AO43" s="30">
        <v>0</v>
      </c>
      <c r="AP43" s="30">
        <v>0</v>
      </c>
      <c r="AQ43" s="30">
        <v>1</v>
      </c>
      <c r="AR43" s="2"/>
      <c r="AS43" s="2"/>
      <c r="AT43" s="2"/>
      <c r="AU43" s="2"/>
      <c r="AV43" s="2"/>
      <c r="AW43" s="2"/>
      <c r="AX43" s="2"/>
      <c r="AY43" s="2"/>
      <c r="AZ43" s="2"/>
      <c r="BA43" s="2"/>
    </row>
    <row r="50" spans="1:43" ht="17.100000000000001" customHeight="1" x14ac:dyDescent="0.25">
      <c r="A50" s="1"/>
      <c r="B50" s="3"/>
      <c r="C50" s="37"/>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row>
    <row r="51" spans="1:43" ht="17.100000000000001" customHeight="1" x14ac:dyDescent="0.25">
      <c r="A51" s="1"/>
      <c r="B51" s="37"/>
      <c r="C51" s="3"/>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row>
    <row r="52" spans="1:43" ht="17.100000000000001" customHeight="1" x14ac:dyDescent="0.25">
      <c r="A52" s="1"/>
      <c r="B52" s="37"/>
      <c r="C52" s="37"/>
      <c r="D52" s="3"/>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row>
    <row r="53" spans="1:43" ht="17.100000000000001" customHeight="1" x14ac:dyDescent="0.25">
      <c r="A53" s="1"/>
      <c r="B53" s="37"/>
      <c r="C53" s="37"/>
      <c r="D53" s="2"/>
      <c r="E53" s="3"/>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row>
    <row r="54" spans="1:43" ht="17.100000000000001" customHeight="1" x14ac:dyDescent="0.25">
      <c r="A54" s="1"/>
      <c r="B54" s="37"/>
      <c r="C54" s="37"/>
      <c r="D54" s="2"/>
      <c r="E54" s="2"/>
      <c r="F54" s="3"/>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row>
    <row r="55" spans="1:43" ht="17.100000000000001" customHeight="1" x14ac:dyDescent="0.25">
      <c r="A55" s="1"/>
      <c r="B55" s="37"/>
      <c r="C55" s="2"/>
      <c r="D55" s="2"/>
      <c r="E55" s="2"/>
      <c r="F55" s="2"/>
      <c r="G55" s="3"/>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row>
    <row r="56" spans="1:43" ht="17.100000000000001" customHeight="1" x14ac:dyDescent="0.25">
      <c r="A56" s="1"/>
      <c r="B56" s="37"/>
      <c r="C56" s="37"/>
      <c r="D56" s="2"/>
      <c r="E56" s="2"/>
      <c r="F56" s="2"/>
      <c r="G56" s="2"/>
      <c r="H56" s="3"/>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row>
    <row r="57" spans="1:43" ht="17.100000000000001" customHeight="1" x14ac:dyDescent="0.25">
      <c r="A57" s="1"/>
      <c r="B57" s="37"/>
      <c r="C57" s="37"/>
      <c r="D57" s="2"/>
      <c r="E57" s="2"/>
      <c r="F57" s="2"/>
      <c r="G57" s="2"/>
      <c r="H57" s="2"/>
      <c r="I57" s="3"/>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row>
    <row r="58" spans="1:43" ht="17.100000000000001" customHeight="1" x14ac:dyDescent="0.25">
      <c r="A58" s="1"/>
      <c r="B58" s="37"/>
      <c r="C58" s="37"/>
      <c r="D58" s="2"/>
      <c r="E58" s="2"/>
      <c r="F58" s="2"/>
      <c r="G58" s="2"/>
      <c r="H58" s="2"/>
      <c r="I58" s="2"/>
      <c r="J58" s="3"/>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row>
    <row r="59" spans="1:43" ht="17.100000000000001" customHeight="1" x14ac:dyDescent="0.25">
      <c r="A59" s="1"/>
      <c r="B59" s="37"/>
      <c r="C59" s="37"/>
      <c r="D59" s="2"/>
      <c r="E59" s="2"/>
      <c r="F59" s="2"/>
      <c r="G59" s="2"/>
      <c r="H59" s="2"/>
      <c r="I59" s="2"/>
      <c r="J59" s="2"/>
      <c r="K59" s="3"/>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row>
    <row r="60" spans="1:43" ht="17.100000000000001" customHeight="1" x14ac:dyDescent="0.25">
      <c r="A60" s="1"/>
      <c r="B60" s="37"/>
      <c r="C60" s="37"/>
      <c r="D60" s="2"/>
      <c r="E60" s="2"/>
      <c r="F60" s="2"/>
      <c r="G60" s="2"/>
      <c r="H60" s="2"/>
      <c r="I60" s="2"/>
      <c r="J60" s="2"/>
      <c r="K60" s="2"/>
      <c r="L60" s="3"/>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row>
    <row r="61" spans="1:43" ht="17.100000000000001" customHeight="1" x14ac:dyDescent="0.25">
      <c r="A61" s="1"/>
      <c r="B61" s="37"/>
      <c r="C61" s="2"/>
      <c r="D61" s="2"/>
      <c r="E61" s="2"/>
      <c r="F61" s="2"/>
      <c r="G61" s="2"/>
      <c r="H61" s="2"/>
      <c r="I61" s="2"/>
      <c r="J61" s="2"/>
      <c r="K61" s="2"/>
      <c r="L61" s="2"/>
      <c r="M61" s="3"/>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row>
    <row r="62" spans="1:43" ht="17.100000000000001" customHeight="1" x14ac:dyDescent="0.25">
      <c r="A62" s="1"/>
      <c r="B62" s="37"/>
      <c r="C62" s="37"/>
      <c r="D62" s="2"/>
      <c r="E62" s="2"/>
      <c r="F62" s="2"/>
      <c r="G62" s="2"/>
      <c r="H62" s="2"/>
      <c r="I62" s="2"/>
      <c r="J62" s="2"/>
      <c r="K62" s="2"/>
      <c r="L62" s="2"/>
      <c r="M62" s="2"/>
      <c r="N62" s="3"/>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row>
    <row r="63" spans="1:43" ht="17.100000000000001" customHeight="1" x14ac:dyDescent="0.25">
      <c r="A63" s="1"/>
      <c r="B63" s="37"/>
      <c r="C63" s="37"/>
      <c r="D63" s="2"/>
      <c r="E63" s="2"/>
      <c r="F63" s="2"/>
      <c r="G63" s="2"/>
      <c r="H63" s="2"/>
      <c r="I63" s="2"/>
      <c r="J63" s="2"/>
      <c r="K63" s="2"/>
      <c r="L63" s="2"/>
      <c r="M63" s="2"/>
      <c r="N63" s="2"/>
      <c r="O63" s="3"/>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row>
    <row r="64" spans="1:43" ht="17.100000000000001" customHeight="1" x14ac:dyDescent="0.25">
      <c r="A64" s="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row>
    <row r="65" spans="1:43" ht="17.100000000000001" customHeight="1" x14ac:dyDescent="0.25">
      <c r="A65" s="1"/>
      <c r="B65" s="37"/>
      <c r="C65" s="37"/>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row>
    <row r="66" spans="1:43" ht="17.100000000000001" customHeight="1" x14ac:dyDescent="0.25">
      <c r="A66" s="1"/>
      <c r="B66" s="37"/>
      <c r="C66" s="37"/>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row>
    <row r="67" spans="1:43" ht="17.100000000000001" customHeight="1" x14ac:dyDescent="0.25">
      <c r="A67" s="1"/>
      <c r="B67" s="37"/>
      <c r="C67" s="37"/>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row>
    <row r="68" spans="1:43" ht="17.100000000000001" customHeight="1" x14ac:dyDescent="0.25">
      <c r="A68" s="1"/>
      <c r="B68" s="37"/>
      <c r="C68" s="37"/>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row>
    <row r="69" spans="1:43" ht="17.100000000000001" customHeight="1" x14ac:dyDescent="0.25">
      <c r="A69" s="1"/>
      <c r="B69" s="37"/>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row>
    <row r="70" spans="1:43" ht="17.100000000000001" customHeight="1" x14ac:dyDescent="0.25">
      <c r="A70" s="1"/>
      <c r="B70" s="37"/>
      <c r="C70" s="37"/>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row>
    <row r="71" spans="1:43" ht="17.100000000000001" customHeight="1" x14ac:dyDescent="0.25">
      <c r="A71" s="1"/>
      <c r="B71" s="37"/>
      <c r="C71" s="37"/>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row>
    <row r="72" spans="1:43" ht="17.100000000000001" customHeight="1" x14ac:dyDescent="0.25">
      <c r="A72" s="1"/>
      <c r="B72" s="37"/>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row>
    <row r="73" spans="1:43" ht="17.100000000000001" customHeight="1" x14ac:dyDescent="0.25">
      <c r="A73" s="1"/>
      <c r="B73" s="37"/>
      <c r="C73" s="37"/>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row>
    <row r="74" spans="1:43" ht="17.100000000000001" customHeight="1" x14ac:dyDescent="0.25">
      <c r="A74" s="1"/>
      <c r="B74" s="37"/>
      <c r="C74" s="37"/>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row>
    <row r="75" spans="1:43" ht="17.100000000000001" customHeight="1" x14ac:dyDescent="0.25">
      <c r="A75" s="1"/>
      <c r="B75" s="37"/>
      <c r="C75" s="37"/>
      <c r="D75" s="2"/>
      <c r="E75" s="2"/>
      <c r="F75" s="2"/>
      <c r="G75" s="2"/>
      <c r="H75" s="2"/>
      <c r="I75" s="2"/>
      <c r="J75" s="2"/>
      <c r="K75" s="2"/>
      <c r="L75" s="2"/>
      <c r="M75" s="2"/>
      <c r="N75" s="2"/>
      <c r="O75" s="2"/>
      <c r="P75" s="2"/>
      <c r="Q75" s="2"/>
      <c r="R75" s="2"/>
      <c r="S75" s="2"/>
      <c r="T75" s="2"/>
      <c r="U75" s="2"/>
      <c r="V75" s="2"/>
      <c r="W75" s="2"/>
      <c r="X75" s="2"/>
      <c r="Y75" s="2"/>
      <c r="Z75" s="2"/>
      <c r="AA75" s="3"/>
      <c r="AB75" s="2"/>
      <c r="AC75" s="2"/>
      <c r="AD75" s="2"/>
      <c r="AE75" s="2"/>
      <c r="AF75" s="2"/>
      <c r="AG75" s="2"/>
      <c r="AH75" s="2"/>
      <c r="AI75" s="2"/>
      <c r="AJ75" s="2"/>
      <c r="AK75" s="2"/>
      <c r="AL75" s="2"/>
      <c r="AM75" s="2"/>
      <c r="AN75" s="2"/>
      <c r="AO75" s="2"/>
      <c r="AP75" s="2"/>
      <c r="AQ75" s="2"/>
    </row>
    <row r="76" spans="1:43" ht="17.100000000000001" customHeight="1" x14ac:dyDescent="0.25">
      <c r="A76" s="1"/>
      <c r="B76" s="37"/>
      <c r="C76" s="37"/>
      <c r="D76" s="2"/>
      <c r="E76" s="2"/>
      <c r="F76" s="2"/>
      <c r="G76" s="2"/>
      <c r="H76" s="2"/>
      <c r="I76" s="2"/>
      <c r="J76" s="2"/>
      <c r="K76" s="2"/>
      <c r="L76" s="2"/>
      <c r="M76" s="2"/>
      <c r="N76" s="2"/>
      <c r="O76" s="2"/>
      <c r="P76" s="2"/>
      <c r="Q76" s="2"/>
      <c r="R76" s="2"/>
      <c r="S76" s="2"/>
      <c r="T76" s="2"/>
      <c r="U76" s="2"/>
      <c r="V76" s="2"/>
      <c r="W76" s="2"/>
      <c r="X76" s="2"/>
      <c r="Y76" s="2"/>
      <c r="Z76" s="2"/>
      <c r="AA76" s="2"/>
      <c r="AB76" s="3"/>
      <c r="AC76" s="2"/>
      <c r="AD76" s="2"/>
      <c r="AE76" s="2"/>
      <c r="AF76" s="2"/>
      <c r="AG76" s="2"/>
      <c r="AH76" s="2"/>
      <c r="AI76" s="2"/>
      <c r="AJ76" s="2"/>
      <c r="AK76" s="2"/>
      <c r="AL76" s="2"/>
      <c r="AM76" s="2"/>
      <c r="AN76" s="2"/>
      <c r="AO76" s="2"/>
      <c r="AP76" s="2"/>
      <c r="AQ76" s="2"/>
    </row>
    <row r="77" spans="1:43" ht="17.100000000000001" customHeight="1" x14ac:dyDescent="0.25">
      <c r="A77" s="1"/>
      <c r="B77" s="37"/>
      <c r="C77" s="2"/>
      <c r="D77" s="2"/>
      <c r="E77" s="2"/>
      <c r="F77" s="2"/>
      <c r="G77" s="2"/>
      <c r="H77" s="2"/>
      <c r="I77" s="2"/>
      <c r="J77" s="2"/>
      <c r="K77" s="2"/>
      <c r="L77" s="2"/>
      <c r="M77" s="2"/>
      <c r="N77" s="2"/>
      <c r="O77" s="2"/>
      <c r="P77" s="2"/>
      <c r="Q77" s="2"/>
      <c r="R77" s="2"/>
      <c r="S77" s="2"/>
      <c r="T77" s="2"/>
      <c r="U77" s="2"/>
      <c r="V77" s="2"/>
      <c r="W77" s="2"/>
      <c r="X77" s="2"/>
      <c r="Y77" s="2"/>
      <c r="Z77" s="2"/>
      <c r="AA77" s="2"/>
      <c r="AB77" s="2"/>
      <c r="AC77" s="3"/>
      <c r="AD77" s="2"/>
      <c r="AE77" s="2"/>
      <c r="AF77" s="2"/>
      <c r="AG77" s="2"/>
      <c r="AH77" s="2"/>
      <c r="AI77" s="2"/>
      <c r="AJ77" s="2"/>
      <c r="AK77" s="2"/>
      <c r="AL77" s="2"/>
      <c r="AM77" s="2"/>
      <c r="AN77" s="2"/>
      <c r="AO77" s="2"/>
      <c r="AP77" s="2"/>
      <c r="AQ77" s="2"/>
    </row>
    <row r="78" spans="1:43" ht="17.100000000000001" customHeight="1" x14ac:dyDescent="0.25">
      <c r="A78" s="1"/>
      <c r="B78" s="37"/>
      <c r="C78" s="37"/>
      <c r="D78" s="2"/>
      <c r="E78" s="2"/>
      <c r="F78" s="2"/>
      <c r="G78" s="2"/>
      <c r="H78" s="2"/>
      <c r="I78" s="2"/>
      <c r="J78" s="2"/>
      <c r="K78" s="2"/>
      <c r="L78" s="2"/>
      <c r="M78" s="2"/>
      <c r="N78" s="2"/>
      <c r="O78" s="2"/>
      <c r="P78" s="2"/>
      <c r="Q78" s="2"/>
      <c r="R78" s="2"/>
      <c r="S78" s="2"/>
      <c r="T78" s="2"/>
      <c r="U78" s="2"/>
      <c r="V78" s="2"/>
      <c r="W78" s="2"/>
      <c r="X78" s="2"/>
      <c r="Y78" s="2"/>
      <c r="Z78" s="2"/>
      <c r="AA78" s="2"/>
      <c r="AB78" s="2"/>
      <c r="AC78" s="2"/>
      <c r="AD78" s="3"/>
      <c r="AE78" s="2"/>
      <c r="AF78" s="2"/>
      <c r="AG78" s="2"/>
      <c r="AH78" s="2"/>
      <c r="AI78" s="2"/>
      <c r="AJ78" s="2"/>
      <c r="AK78" s="2"/>
      <c r="AL78" s="2"/>
      <c r="AM78" s="2"/>
      <c r="AN78" s="2"/>
      <c r="AO78" s="2"/>
      <c r="AP78" s="2"/>
      <c r="AQ78" s="2"/>
    </row>
    <row r="79" spans="1:43" ht="17.100000000000001" customHeight="1" x14ac:dyDescent="0.25">
      <c r="A79" s="1"/>
      <c r="B79" s="37"/>
      <c r="C79" s="37"/>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3"/>
      <c r="AF79" s="2"/>
      <c r="AG79" s="2"/>
      <c r="AH79" s="2"/>
      <c r="AI79" s="2"/>
      <c r="AJ79" s="2"/>
      <c r="AK79" s="2"/>
      <c r="AL79" s="2"/>
      <c r="AM79" s="2"/>
      <c r="AN79" s="2"/>
      <c r="AO79" s="2"/>
      <c r="AP79" s="2"/>
      <c r="AQ79" s="2"/>
    </row>
    <row r="80" spans="1:43" ht="17.100000000000001" customHeight="1" x14ac:dyDescent="0.25">
      <c r="A80" s="1"/>
      <c r="B80" s="37"/>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3"/>
      <c r="AG80" s="2"/>
      <c r="AH80" s="2"/>
      <c r="AI80" s="2"/>
      <c r="AJ80" s="2"/>
      <c r="AK80" s="2"/>
      <c r="AL80" s="2"/>
      <c r="AM80" s="2"/>
      <c r="AN80" s="2"/>
      <c r="AO80" s="2"/>
      <c r="AP80" s="2"/>
      <c r="AQ80" s="2"/>
    </row>
    <row r="81" spans="1:43" ht="17.100000000000001" customHeight="1" x14ac:dyDescent="0.25">
      <c r="A81" s="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3"/>
      <c r="AH81" s="2"/>
      <c r="AI81" s="2"/>
      <c r="AJ81" s="2"/>
      <c r="AK81" s="2"/>
      <c r="AL81" s="2"/>
      <c r="AM81" s="2"/>
      <c r="AN81" s="2"/>
      <c r="AO81" s="2"/>
      <c r="AP81" s="2"/>
      <c r="AQ81" s="2"/>
    </row>
    <row r="82" spans="1:43" ht="17.100000000000001" customHeight="1" x14ac:dyDescent="0.25">
      <c r="A82" s="1"/>
      <c r="B82" s="37"/>
      <c r="C82" s="37"/>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3"/>
      <c r="AI82" s="2"/>
      <c r="AJ82" s="2"/>
      <c r="AK82" s="2"/>
      <c r="AL82" s="2"/>
      <c r="AM82" s="2"/>
      <c r="AN82" s="2"/>
      <c r="AO82" s="2"/>
      <c r="AP82" s="2"/>
      <c r="AQ82" s="2"/>
    </row>
    <row r="83" spans="1:43" ht="17.100000000000001" customHeight="1" x14ac:dyDescent="0.25">
      <c r="A83" s="1"/>
      <c r="B83" s="37"/>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3"/>
      <c r="AJ83" s="2"/>
      <c r="AK83" s="2"/>
      <c r="AL83" s="2"/>
      <c r="AM83" s="2"/>
      <c r="AN83" s="2"/>
      <c r="AO83" s="2"/>
      <c r="AP83" s="2"/>
      <c r="AQ83" s="2"/>
    </row>
    <row r="84" spans="1:43" ht="17.100000000000001" customHeight="1" x14ac:dyDescent="0.25">
      <c r="A84" s="1"/>
      <c r="B84" s="37"/>
      <c r="C84" s="37"/>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3"/>
      <c r="AK84" s="2"/>
      <c r="AL84" s="2"/>
      <c r="AM84" s="2"/>
      <c r="AN84" s="2"/>
      <c r="AO84" s="2"/>
      <c r="AP84" s="2"/>
      <c r="AQ84" s="2"/>
    </row>
    <row r="85" spans="1:43" ht="17.100000000000001" customHeight="1" x14ac:dyDescent="0.25">
      <c r="A85" s="1"/>
      <c r="B85" s="37"/>
      <c r="C85" s="37"/>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3"/>
      <c r="AL85" s="2"/>
      <c r="AM85" s="2"/>
      <c r="AN85" s="2"/>
      <c r="AO85" s="2"/>
      <c r="AP85" s="2"/>
      <c r="AQ85" s="2"/>
    </row>
    <row r="86" spans="1:43" ht="17.100000000000001" customHeight="1" x14ac:dyDescent="0.25">
      <c r="A86" s="1"/>
      <c r="B86" s="37"/>
      <c r="C86" s="37"/>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3"/>
      <c r="AM86" s="2"/>
      <c r="AN86" s="2"/>
      <c r="AO86" s="2"/>
      <c r="AP86" s="2"/>
      <c r="AQ86" s="2"/>
    </row>
    <row r="87" spans="1:43" ht="17.100000000000001" customHeight="1" x14ac:dyDescent="0.25">
      <c r="A87" s="1"/>
      <c r="B87" s="37"/>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row>
    <row r="88" spans="1:43" ht="17.100000000000001" customHeight="1" x14ac:dyDescent="0.25">
      <c r="A88" s="1"/>
      <c r="B88" s="37"/>
      <c r="C88" s="37"/>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row>
    <row r="89" spans="1:43" ht="17.100000000000001" customHeight="1" x14ac:dyDescent="0.25">
      <c r="A89" s="1"/>
      <c r="B89" s="37"/>
      <c r="C89" s="37"/>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row>
    <row r="90" spans="1:43" ht="17.100000000000001" customHeight="1" x14ac:dyDescent="0.25">
      <c r="A90" s="1"/>
      <c r="B90" s="37"/>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row>
    <row r="91" spans="1:43" ht="17.100000000000001" customHeight="1" x14ac:dyDescent="0.25">
      <c r="A91" s="1"/>
      <c r="B91" s="37"/>
      <c r="C91" s="37"/>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row>
  </sheetData>
  <sortState xmlns:xlrd2="http://schemas.microsoft.com/office/spreadsheetml/2017/richdata2" ref="A2:AQ43">
    <sortCondition ref="A2:A43"/>
  </sortState>
  <customSheetViews>
    <customSheetView guid="{C6883EF1-A235-4F7F-9B70-0CC3974E9739}" scale="49">
      <selection activeCell="B15" sqref="B15"/>
      <pageMargins left="0.7" right="0.7" top="0.75" bottom="0.75" header="0.3" footer="0.3"/>
      <pageSetup orientation="portrait" horizontalDpi="4294967293" verticalDpi="0" r:id="rId1"/>
    </customSheetView>
  </customSheetViews>
  <conditionalFormatting sqref="A2:XFD2">
    <cfRule type="colorScale" priority="6">
      <colorScale>
        <cfvo type="min"/>
        <cfvo type="percentile" val="50"/>
        <cfvo type="max"/>
        <color rgb="FF63BE7B"/>
        <color rgb="FFFFEB84"/>
        <color rgb="FFF8696B"/>
      </colorScale>
    </cfRule>
  </conditionalFormatting>
  <conditionalFormatting sqref="A2:XFD43">
    <cfRule type="colorScale" priority="4">
      <colorScale>
        <cfvo type="min"/>
        <cfvo type="percentile" val="50"/>
        <cfvo type="max"/>
        <color rgb="FFF8696B"/>
        <color rgb="FFFFEB84"/>
        <color rgb="FF63BE7B"/>
      </colorScale>
    </cfRule>
  </conditionalFormatting>
  <conditionalFormatting sqref="A4:XFD4">
    <cfRule type="colorScale" priority="8">
      <colorScale>
        <cfvo type="min"/>
        <cfvo type="percentile" val="50"/>
        <cfvo type="max"/>
        <color rgb="FF63BE7B"/>
        <color rgb="FFFFEB84"/>
        <color rgb="FFF8696B"/>
      </colorScale>
    </cfRule>
  </conditionalFormatting>
  <conditionalFormatting sqref="A6:XFD6">
    <cfRule type="colorScale" priority="9">
      <colorScale>
        <cfvo type="min"/>
        <cfvo type="percentile" val="50"/>
        <cfvo type="max"/>
        <color rgb="FF63BE7B"/>
        <color rgb="FFFFEB84"/>
        <color rgb="FFF8696B"/>
      </colorScale>
    </cfRule>
  </conditionalFormatting>
  <conditionalFormatting sqref="A7:XFD7">
    <cfRule type="colorScale" priority="10">
      <colorScale>
        <cfvo type="min"/>
        <cfvo type="percentile" val="50"/>
        <cfvo type="max"/>
        <color rgb="FF63BE7B"/>
        <color rgb="FFFFEB84"/>
        <color rgb="FFF8696B"/>
      </colorScale>
    </cfRule>
  </conditionalFormatting>
  <conditionalFormatting sqref="A8:XFD8">
    <cfRule type="colorScale" priority="11">
      <colorScale>
        <cfvo type="min"/>
        <cfvo type="percentile" val="50"/>
        <cfvo type="max"/>
        <color rgb="FF63BE7B"/>
        <color rgb="FFFFEB84"/>
        <color rgb="FFF8696B"/>
      </colorScale>
    </cfRule>
  </conditionalFormatting>
  <conditionalFormatting sqref="A9:XFD9">
    <cfRule type="colorScale" priority="12">
      <colorScale>
        <cfvo type="min"/>
        <cfvo type="percentile" val="50"/>
        <cfvo type="max"/>
        <color rgb="FF63BE7B"/>
        <color rgb="FFFFEB84"/>
        <color rgb="FFF8696B"/>
      </colorScale>
    </cfRule>
  </conditionalFormatting>
  <conditionalFormatting sqref="A10:XFD10">
    <cfRule type="colorScale" priority="13">
      <colorScale>
        <cfvo type="min"/>
        <cfvo type="percentile" val="50"/>
        <cfvo type="max"/>
        <color rgb="FF63BE7B"/>
        <color rgb="FFFFEB84"/>
        <color rgb="FFF8696B"/>
      </colorScale>
    </cfRule>
  </conditionalFormatting>
  <conditionalFormatting sqref="A24:XFD24 M26">
    <cfRule type="colorScale" priority="14">
      <colorScale>
        <cfvo type="min"/>
        <cfvo type="percentile" val="50"/>
        <cfvo type="max"/>
        <color rgb="FF63BE7B"/>
        <color rgb="FFFFEB84"/>
        <color rgb="FFF8696B"/>
      </colorScale>
    </cfRule>
  </conditionalFormatting>
  <conditionalFormatting sqref="A34:XFD34">
    <cfRule type="colorScale" priority="18">
      <colorScale>
        <cfvo type="min"/>
        <cfvo type="percentile" val="50"/>
        <cfvo type="max"/>
        <color rgb="FF63BE7B"/>
        <color rgb="FFFFEB84"/>
        <color rgb="FFF8696B"/>
      </colorScale>
    </cfRule>
  </conditionalFormatting>
  <conditionalFormatting sqref="A35:XFD35">
    <cfRule type="colorScale" priority="15">
      <colorScale>
        <cfvo type="min"/>
        <cfvo type="percentile" val="50"/>
        <cfvo type="max"/>
        <color rgb="FF63BE7B"/>
        <color rgb="FFFFEB84"/>
        <color rgb="FFF8696B"/>
      </colorScale>
    </cfRule>
  </conditionalFormatting>
  <conditionalFormatting sqref="A39:XFD39">
    <cfRule type="colorScale" priority="16">
      <colorScale>
        <cfvo type="min"/>
        <cfvo type="percentile" val="50"/>
        <cfvo type="max"/>
        <color rgb="FF63BE7B"/>
        <color rgb="FFFFEB84"/>
        <color rgb="FFF8696B"/>
      </colorScale>
    </cfRule>
  </conditionalFormatting>
  <conditionalFormatting sqref="B2">
    <cfRule type="colorScale" priority="5">
      <colorScale>
        <cfvo type="min"/>
        <cfvo type="percentile" val="50"/>
        <cfvo type="max"/>
        <color rgb="FFF8696B"/>
        <color rgb="FFFCFCFF"/>
        <color rgb="FF5A8AC6"/>
      </colorScale>
    </cfRule>
  </conditionalFormatting>
  <conditionalFormatting sqref="B43:AP43 AQ42 B42:AO42 AP41:AQ41 B41:AN41 AO40:AQ40 B40:AM40 AN39:AQ39 B39:AL39 AM38:AQ38 B38:AK38 AL37:AQ37 B37:AJ37 AK36:AQ36 B36:AI36 AJ35:AQ35 B35:AH35 AI34:AQ34 B34:AG34 AH33:AQ33 B33:AF33 AG32:AQ32 B32:AE32 AF31:AQ31 B31:AD31 AE30:AQ30 B30:AC30 AD29:AQ29 B29:AB29 AC28:AQ28 B28:AA28 AB27:AQ27 B27:Z27 AA26:AQ26 Z25:AQ25 B25:X25 Y24:AQ24 B24:W24 X23:AQ23 B23:V23 W22:AQ22 B22:U22 V21:AQ21 B21:T21 U20:AQ20 B20:S20 T19:AQ19 B19:R19 S18:AQ18 B18:Q18 R17:AQ17 B17:P17 Q16:AQ16 B16:O16 P15:AQ15 B15:N15 O14:AQ14 B14:M14 N13:AQ13 B13:L13 M12:AQ12 B12:K12 L11:AQ11 B11:J11 K10:AQ10 B10:I10 J9:AQ9 B9:H9 I8:AQ8 B8:G8 H7:AQ7 B7:F7 G6:AQ6 B6:E6 F5:AQ5 B5:D5 E4:AQ4 B4:C4 D3:AQ3 B3 C2:AQ2 B26:Y26">
    <cfRule type="colorScale" priority="19">
      <colorScale>
        <cfvo type="min"/>
        <cfvo type="percentile" val="50"/>
        <cfvo type="max"/>
        <color rgb="FFF8696B"/>
        <color rgb="FFFFEB84"/>
        <color rgb="FF63BE7B"/>
      </colorScale>
    </cfRule>
  </conditionalFormatting>
  <conditionalFormatting sqref="B2:AQ43">
    <cfRule type="colorScale" priority="21">
      <colorScale>
        <cfvo type="min"/>
        <cfvo type="percentile" val="50"/>
        <cfvo type="max"/>
        <color rgb="FFF8696B"/>
        <color rgb="FFFFEB84"/>
        <color rgb="FF63BE7B"/>
      </colorScale>
    </cfRule>
  </conditionalFormatting>
  <conditionalFormatting sqref="B2 C3 D4 E5 F6 G7 H8 I9 J10 K11 L12 M13 N14 O15 P16 Q17 R18 S19 T20 U21 V22 W23 X24 Y25 Z26 AA27 AB28 AC29 AD30 AE31 AF32 AG33 AH34 AI35 AJ36 AK37 AL38 AM39 AN40 AO41 AP42 AQ43">
    <cfRule type="colorScale" priority="2">
      <colorScale>
        <cfvo type="min"/>
        <cfvo type="percentile" val="50"/>
        <cfvo type="max"/>
        <color rgb="FFF8696B"/>
        <color rgb="FFFCFCFF"/>
        <color rgb="FF5A8AC6"/>
      </colorScale>
    </cfRule>
  </conditionalFormatting>
  <conditionalFormatting sqref="D4 E5 F6 G7 H8 I9 J10 X24 AH34 AI35 AM39">
    <cfRule type="colorScale" priority="7">
      <colorScale>
        <cfvo type="min"/>
        <cfvo type="percentile" val="50"/>
        <cfvo type="max"/>
        <color rgb="FFF8696B"/>
        <color rgb="FFFCFCFF"/>
        <color rgb="FF5A8AC6"/>
      </colorScale>
    </cfRule>
  </conditionalFormatting>
  <conditionalFormatting sqref="B2 L12 AQ43 M13 C3 D4 E5 F6 G7 H8 I9 J10 K11 N14 O15 P16 Q17 R18 S19 T20 U21 V22 W23 X24 Y25 Z26 AA27 AB28 AC29 AD30 AE31 AF32 AG33 AH34 AI35 AJ36 AK37 AL38 AM39 AN40 AO41 AP42">
    <cfRule type="colorScale" priority="38">
      <colorScale>
        <cfvo type="min"/>
        <cfvo type="percentile" val="50"/>
        <cfvo type="max"/>
        <color rgb="FFF8696B"/>
        <color rgb="FFFFEB84"/>
        <color rgb="FF63BE7B"/>
      </colorScale>
    </cfRule>
  </conditionalFormatting>
  <conditionalFormatting sqref="B50 L60 AQ91 M61 C51 D52 E53 F54 G55 H56 I57 J58 K59 N62 O63 P64 Q65 R66 S67 T68 U69 V70 W71 X72 Y73 Z74 AA75 AB76 AC77 AD78 AE79 AF80 AG81 AH82 AI83 AJ84 AK85 AL86 AM87 AN88 AO89 AP90">
    <cfRule type="colorScale" priority="26">
      <colorScale>
        <cfvo type="min"/>
        <cfvo type="percentile" val="50"/>
        <cfvo type="max"/>
        <color rgb="FFF8696B"/>
        <color rgb="FFFFEB84"/>
        <color rgb="FF63BE7B"/>
      </colorScale>
    </cfRule>
  </conditionalFormatting>
  <conditionalFormatting sqref="AO40:AP40 AP41 AN39:AP39 O14:AK14 K10 J9:K9 I8:K8 F5 D3:E3 B3 C2:E2 H9 H10:I10 O16 O17:P17 O18:Q18 O19:R19 T21 T22:U22 T23:V23 T24:W24 Z27 Z28:AA28 Z29:AB29 Z30:AC30 Z31:AD31 Z32:AE32 Z33:AF33 Z34:AG34 Z35:AH35 Z36:AI36 Z37:AJ37 Z38:AK38 Z39:AL39 Z40:AM40 Z41:AN41 Z42:AO42 Z43:AP43 G8:G12 T25:X25 O20:S25 F2:L3 E4:F4 AQ14:AQ32 H7:K7 L7:L11 G4:L6 AM24:AP28 P15:AK15 Q16:AK16 R17:AK17 S18:AK18 T19:AK19 U20:AK20 V21:AK21 W22:AK22 X23:AK23 Y24:AL24 Z25:AL25 AA26:AL26 AB27:AL27 AC28:AL28 AD29:AP29 AE30:AP30 AF31:AP31 AG32:AP32 AQ34:AQ37 AH33:AQ33 AI34:AP34 AJ35:AP35 AK36:AP36 AL37:AP37 AQ39:AQ42 AM38:AQ38 N13:AK13 M2:AQ12 AN13:AQ13 AN14:AP23 AL13:AM23 M15:N25 M14 H11:J11 H12:K12 H35:Y43 L24:L25 H24:K34 G24:G43 G13:L23 C43:F43 F7:F16 D6:E16 D17:F42 D5 B4:C4 B5:B43 C5:C42 L26:Y34">
    <cfRule type="colorScale" priority="208">
      <colorScale>
        <cfvo type="min"/>
        <cfvo type="percentile" val="50"/>
        <cfvo type="max"/>
        <color rgb="FFF8696B"/>
        <color rgb="FFFFEB84"/>
        <color rgb="FF63BE7B"/>
      </colorScale>
    </cfRule>
  </conditionalFormatting>
  <conditionalFormatting sqref="AO88:AP88 AP89 AN87:AP87 O62:AK62 M60 K58 J57:K57 I56:K56 B54:E54 F53 B53:D53 B52:C52 D51:E51 B51 C50:E50 H57 H58:I58 H59:J59 H60:K60 H61:L61 O65:P65 O66:Q66 O67:R67 T69 T70:U70 T71:V71 T72:W72 Z75 Z76:AA76 Z77:AB77 Z78:AC78 Z79:AD79 Z80:AE80 Z81:AF81 Z82:AG82 Z83:AH83 Z84:AI84 Z85:AJ85 Z86:AK86 Z87:AL87 Z88:AM88 Z89:AN89 Z90:AO90 Z91:AP91 G56:G91 H64:J91 K64:O64 K76:Y91 T73:X73 O68:S73 N63 H62:M63 B55:F91 F50:M51 E52:F52 AQ62:AQ80 H55:K55 L55:M59 G52:M54 AM73:AP76 P63:AK63 Q64:AK64 R65:AK65 S66:AK66 T67:AK67 U68:AK68 V69:AK69 W70:AK70 X71:AK71 Y72:AK72 Z73:AL73 AA74:AL74 AB75:AL75 AC76:AL76 AD77:AP77 AE78:AP78 AF79:AP79 AG80:AP80 AQ82:AQ85 AH81:AQ81 AI82:AP82 AJ83:AP83 AK84:AP84 AL85:AP85 AQ87:AQ90 AM86:AQ86 N50:AQ61 AL62:AP72 O74:Y75 K65:N75">
    <cfRule type="colorScale" priority="23">
      <colorScale>
        <cfvo type="min"/>
        <cfvo type="percentile" val="50"/>
        <cfvo type="max"/>
        <color rgb="FFF8696B"/>
        <color rgb="FFFFEB84"/>
        <color rgb="FF63BE7B"/>
      </colorScale>
    </cfRule>
  </conditionalFormatting>
  <conditionalFormatting sqref="AP42 AQ43 AO41 AN40 AM39 AL38 AK37 AJ36 AI35 AH34 AG33 AF32 AE31 AD30 AC29 AB28 AA27 Z26 Y25 X24 W23 V22 U21 T20 S19 R18 Q17 P16 O15 N14 M13 L12 K11 J10 I9 H8 G7 F6 E5 D4 C3 B2">
    <cfRule type="colorScale" priority="36">
      <colorScale>
        <cfvo type="min"/>
        <cfvo type="percentile" val="50"/>
        <cfvo type="max"/>
        <color rgb="FFF8696B"/>
        <color rgb="FFFCFCFF"/>
        <color rgb="FF5A8AC6"/>
      </colorScale>
    </cfRule>
    <cfRule type="colorScale" priority="37">
      <colorScale>
        <cfvo type="min"/>
        <cfvo type="percentile" val="50"/>
        <cfvo type="max"/>
        <color rgb="FF63BE7B"/>
        <color rgb="FFFFEB84"/>
        <color rgb="FFF8696B"/>
      </colorScale>
    </cfRule>
  </conditionalFormatting>
  <conditionalFormatting sqref="AP90 AQ91 AO89 AN88 AM87 AL86 AK85 AJ84 AI83 AH82 AG81 AF80 AE79 AD78 AC77 AB76 AA75 Z74 Y73 X72 W71 V70 U69 T68 S67 R66 Q65 P64 O63 N62 M61 L60 K59 J58 I57 H56 G55 F54 E53 D52 C51 B50">
    <cfRule type="colorScale" priority="24">
      <colorScale>
        <cfvo type="min"/>
        <cfvo type="percentile" val="50"/>
        <cfvo type="max"/>
        <color rgb="FFF8696B"/>
        <color rgb="FFFCFCFF"/>
        <color rgb="FF5A8AC6"/>
      </colorScale>
    </cfRule>
    <cfRule type="colorScale" priority="25">
      <colorScale>
        <cfvo type="min"/>
        <cfvo type="percentile" val="50"/>
        <cfvo type="max"/>
        <color rgb="FF63BE7B"/>
        <color rgb="FFFFEB84"/>
        <color rgb="FFF8696B"/>
      </colorScale>
    </cfRule>
  </conditionalFormatting>
  <conditionalFormatting sqref="AR43:XFD43 A43:AP43 AQ42:XFD42 A42:AO42 AP41:XFD41 A41:AN41 AO40:XFD40 A40:AM40 AN39:XFD39 A39:AL39 AM38:XFD38 A38:AK38 AL37:XFD37 A37:AJ37 AK36:XFD36 A36:AI36 AJ35:XFD35 A35:AH35 AI34:XFD34 A34:AG34 AH33:XFD33 A33:AF33 AG32:XFD32 A32:AE32 AF31:XFD31 A31:AD31 AE30:XFD30 A30:AC30 AD29:XFD29 A29:AB29 AC28:XFD28 A28:AA28 AB27:XFD27 A27:Z27 AA26:XFD26 Z25:XFD25 A25:X25 Y24:XFD24 A24:W24 X23:XFD23 A23:V23 W22:XFD22 A22:U22 V21:XFD21 A21:T21 U20:XFD20 A20:S20 T19:XFD19 A19:R19 S18:XFD18 A18:Q18 R17:XFD17 A17:P17 Q16:XFD16 A16:O16 P15:XFD15 A15:N15 O14:XFD14 A14:M14 N13:XFD13 A13:L13 M12:XFD12 A12:K12 L11:XFD11 A11:J11 K10:XFD10 A10:I10 J9:XFD9 A9:H9 I8:XFD8 A8:G8 H7:XFD7 A7:F7 G6:XFD6 A6:E6 F5:XFD5 A5:D5 E4:XFD4 A4:C4 D3:XFD3 A3:B3 C2:XFD2 A2 A26:Y26">
    <cfRule type="colorScale" priority="3">
      <colorScale>
        <cfvo type="min"/>
        <cfvo type="percentile" val="50"/>
        <cfvo type="max"/>
        <color rgb="FFF8696B"/>
        <color rgb="FFFFEB84"/>
        <color rgb="FF63BE7B"/>
      </colorScale>
    </cfRule>
  </conditionalFormatting>
  <conditionalFormatting sqref="I8:XFD8 A8:G8 G6:XFD6 A6:E6 E4:XFD4 A4:C4 C2:XFD2 A2 J9:XFD9 A9:H9 K10:XFD10 A10:I10 N13:XFD13 A13:L13 W22:XFD22 A22:U22 Y24:XFD24 A24:W24 AI34:XFD34 A34:AG34 AJ35:XFD35 A35:AH35 AN39:XFD39 A39:AL39">
    <cfRule type="colorScale" priority="1">
      <colorScale>
        <cfvo type="min"/>
        <cfvo type="percentile" val="50"/>
        <cfvo type="max"/>
        <color rgb="FF63BE7B"/>
        <color rgb="FFFFEB84"/>
        <color rgb="FFF8696B"/>
      </colorScale>
    </cfRule>
  </conditionalFormatting>
  <pageMargins left="0.7" right="0.7" top="0.75" bottom="0.75" header="0.3" footer="0.3"/>
  <pageSetup scale="90" orientation="portrait" horizontalDpi="4294967293"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517D-812B-48B0-97BA-79FD24705EEB}">
  <dimension ref="A1:L83"/>
  <sheetViews>
    <sheetView zoomScale="70" zoomScaleNormal="70" workbookViewId="0">
      <selection activeCell="A11" sqref="A11"/>
    </sheetView>
  </sheetViews>
  <sheetFormatPr defaultRowHeight="15" x14ac:dyDescent="0.25"/>
  <cols>
    <col min="1" max="1" width="32.140625" bestFit="1" customWidth="1"/>
    <col min="2" max="2" width="13.85546875" bestFit="1" customWidth="1"/>
    <col min="3" max="3" width="20.140625" bestFit="1" customWidth="1"/>
    <col min="4" max="4" width="13" style="2" customWidth="1"/>
    <col min="5" max="5" width="15.7109375" bestFit="1" customWidth="1"/>
    <col min="6" max="6" width="25.42578125" bestFit="1" customWidth="1"/>
    <col min="7" max="7" width="19.140625" bestFit="1" customWidth="1"/>
    <col min="8" max="8" width="18.7109375" bestFit="1" customWidth="1"/>
    <col min="9" max="9" width="15.7109375" bestFit="1" customWidth="1"/>
    <col min="10" max="10" width="14.85546875" bestFit="1" customWidth="1"/>
  </cols>
  <sheetData>
    <row r="1" spans="1:12" x14ac:dyDescent="0.25">
      <c r="A1" s="5" t="s">
        <v>67</v>
      </c>
      <c r="B1" s="5" t="s">
        <v>68</v>
      </c>
      <c r="C1" s="5" t="s">
        <v>69</v>
      </c>
      <c r="D1" s="5" t="s">
        <v>70</v>
      </c>
      <c r="E1" s="5" t="s">
        <v>74</v>
      </c>
      <c r="F1" s="5" t="s">
        <v>75</v>
      </c>
      <c r="G1" s="5" t="s">
        <v>71</v>
      </c>
      <c r="H1" s="5" t="s">
        <v>72</v>
      </c>
      <c r="I1" s="5" t="s">
        <v>79</v>
      </c>
      <c r="J1" s="5" t="s">
        <v>73</v>
      </c>
    </row>
    <row r="2" spans="1:12" x14ac:dyDescent="0.25">
      <c r="A2" t="s">
        <v>80</v>
      </c>
      <c r="B2" t="s">
        <v>26</v>
      </c>
      <c r="C2" t="s">
        <v>0</v>
      </c>
      <c r="D2" s="37">
        <f>'Influence Matrix'!B3</f>
        <v>-0.08</v>
      </c>
      <c r="E2" t="s">
        <v>77</v>
      </c>
      <c r="G2" t="s">
        <v>85</v>
      </c>
      <c r="H2" t="s">
        <v>125</v>
      </c>
    </row>
    <row r="3" spans="1:12" x14ac:dyDescent="0.25">
      <c r="A3" t="s">
        <v>86</v>
      </c>
      <c r="B3" t="s">
        <v>26</v>
      </c>
      <c r="C3" t="s">
        <v>42</v>
      </c>
      <c r="D3" s="56">
        <f>'Influence Matrix'!B4</f>
        <v>0</v>
      </c>
      <c r="G3" t="s">
        <v>78</v>
      </c>
      <c r="H3" t="s">
        <v>78</v>
      </c>
    </row>
    <row r="4" spans="1:12" x14ac:dyDescent="0.25">
      <c r="A4" t="s">
        <v>87</v>
      </c>
      <c r="B4" t="s">
        <v>26</v>
      </c>
      <c r="C4" t="s">
        <v>1</v>
      </c>
      <c r="D4" s="37">
        <f>'Influence Matrix'!B5</f>
        <v>-0.16</v>
      </c>
      <c r="E4" t="s">
        <v>77</v>
      </c>
      <c r="G4" t="s">
        <v>78</v>
      </c>
      <c r="H4" t="s">
        <v>85</v>
      </c>
    </row>
    <row r="5" spans="1:12" x14ac:dyDescent="0.25">
      <c r="A5" t="s">
        <v>88</v>
      </c>
      <c r="B5" t="s">
        <v>26</v>
      </c>
      <c r="C5" t="s">
        <v>2</v>
      </c>
      <c r="D5" s="56">
        <f>'Influence Matrix'!B6</f>
        <v>0</v>
      </c>
      <c r="G5" t="s">
        <v>78</v>
      </c>
      <c r="H5" t="s">
        <v>78</v>
      </c>
    </row>
    <row r="6" spans="1:12" x14ac:dyDescent="0.25">
      <c r="A6" t="s">
        <v>89</v>
      </c>
      <c r="B6" t="s">
        <v>26</v>
      </c>
      <c r="C6" t="s">
        <v>35</v>
      </c>
      <c r="D6" s="37">
        <f>'Influence Matrix'!B7</f>
        <v>0.19</v>
      </c>
      <c r="G6" t="s">
        <v>78</v>
      </c>
      <c r="H6" t="s">
        <v>85</v>
      </c>
    </row>
    <row r="7" spans="1:12" x14ac:dyDescent="0.25">
      <c r="A7" t="s">
        <v>90</v>
      </c>
      <c r="B7" t="s">
        <v>26</v>
      </c>
      <c r="C7" t="s">
        <v>3</v>
      </c>
      <c r="D7" s="56">
        <f>'Influence Matrix'!B8</f>
        <v>0.3</v>
      </c>
      <c r="G7" t="s">
        <v>78</v>
      </c>
      <c r="H7" t="s">
        <v>78</v>
      </c>
    </row>
    <row r="8" spans="1:12" x14ac:dyDescent="0.25">
      <c r="A8" t="s">
        <v>91</v>
      </c>
      <c r="B8" t="s">
        <v>26</v>
      </c>
      <c r="C8" t="s">
        <v>4</v>
      </c>
      <c r="D8" s="37">
        <f>'Influence Matrix'!B9</f>
        <v>0.31</v>
      </c>
      <c r="G8" t="s">
        <v>78</v>
      </c>
      <c r="H8" t="s">
        <v>78</v>
      </c>
    </row>
    <row r="9" spans="1:12" x14ac:dyDescent="0.25">
      <c r="A9" t="s">
        <v>92</v>
      </c>
      <c r="B9" t="s">
        <v>26</v>
      </c>
      <c r="C9" t="s">
        <v>50</v>
      </c>
      <c r="D9" s="56">
        <f>'Influence Matrix'!B10</f>
        <v>0</v>
      </c>
      <c r="G9" t="s">
        <v>85</v>
      </c>
      <c r="H9" t="s">
        <v>85</v>
      </c>
    </row>
    <row r="10" spans="1:12" x14ac:dyDescent="0.25">
      <c r="A10" t="s">
        <v>93</v>
      </c>
      <c r="B10" t="s">
        <v>26</v>
      </c>
      <c r="C10" t="s">
        <v>21</v>
      </c>
      <c r="D10" s="56">
        <f>'Influence Matrix'!B11</f>
        <v>0</v>
      </c>
      <c r="G10" t="s">
        <v>78</v>
      </c>
      <c r="H10" t="s">
        <v>78</v>
      </c>
    </row>
    <row r="11" spans="1:12" x14ac:dyDescent="0.25">
      <c r="A11" t="s">
        <v>94</v>
      </c>
      <c r="B11" t="s">
        <v>26</v>
      </c>
      <c r="C11" t="s">
        <v>30</v>
      </c>
      <c r="D11" s="37">
        <f>'Influence Matrix'!B12</f>
        <v>-7.0000000000000007E-2</v>
      </c>
      <c r="G11" t="s">
        <v>85</v>
      </c>
      <c r="H11" t="s">
        <v>125</v>
      </c>
    </row>
    <row r="12" spans="1:12" x14ac:dyDescent="0.25">
      <c r="A12" t="s">
        <v>95</v>
      </c>
      <c r="B12" t="s">
        <v>26</v>
      </c>
      <c r="C12" t="s">
        <v>22</v>
      </c>
      <c r="D12" s="56">
        <f>'Influence Matrix'!B13</f>
        <v>0</v>
      </c>
      <c r="G12" t="s">
        <v>125</v>
      </c>
      <c r="H12" t="s">
        <v>125</v>
      </c>
    </row>
    <row r="13" spans="1:12" x14ac:dyDescent="0.25">
      <c r="A13" t="s">
        <v>96</v>
      </c>
      <c r="B13" t="s">
        <v>26</v>
      </c>
      <c r="C13" t="s">
        <v>23</v>
      </c>
      <c r="D13" s="37">
        <f>'Influence Matrix'!B14</f>
        <v>-0.13</v>
      </c>
      <c r="G13" t="s">
        <v>78</v>
      </c>
      <c r="H13" t="s">
        <v>85</v>
      </c>
    </row>
    <row r="14" spans="1:12" x14ac:dyDescent="0.25">
      <c r="A14" t="s">
        <v>97</v>
      </c>
      <c r="B14" t="s">
        <v>26</v>
      </c>
      <c r="C14" t="s">
        <v>5</v>
      </c>
      <c r="D14" s="37">
        <f>'Influence Matrix'!B15</f>
        <v>-0.18</v>
      </c>
      <c r="G14" t="s">
        <v>78</v>
      </c>
      <c r="H14" t="s">
        <v>85</v>
      </c>
    </row>
    <row r="15" spans="1:12" x14ac:dyDescent="0.25">
      <c r="A15" t="s">
        <v>98</v>
      </c>
      <c r="B15" t="s">
        <v>26</v>
      </c>
      <c r="C15" t="s">
        <v>36</v>
      </c>
      <c r="D15" s="56">
        <f>'Influence Matrix'!B16</f>
        <v>0</v>
      </c>
      <c r="G15" t="s">
        <v>78</v>
      </c>
      <c r="H15" t="s">
        <v>78</v>
      </c>
    </row>
    <row r="16" spans="1:12" x14ac:dyDescent="0.25">
      <c r="A16" t="s">
        <v>99</v>
      </c>
      <c r="B16" t="s">
        <v>26</v>
      </c>
      <c r="C16" t="s">
        <v>18</v>
      </c>
      <c r="D16" s="37">
        <f>'Influence Matrix'!B17</f>
        <v>-0.06</v>
      </c>
      <c r="G16" t="s">
        <v>125</v>
      </c>
      <c r="H16" t="s">
        <v>125</v>
      </c>
      <c r="L16" t="s">
        <v>126</v>
      </c>
    </row>
    <row r="17" spans="1:8" x14ac:dyDescent="0.25">
      <c r="A17" t="s">
        <v>100</v>
      </c>
      <c r="B17" t="s">
        <v>26</v>
      </c>
      <c r="C17" t="s">
        <v>43</v>
      </c>
      <c r="D17" s="37">
        <f>'Influence Matrix'!B18</f>
        <v>-0.21</v>
      </c>
      <c r="G17" t="s">
        <v>78</v>
      </c>
      <c r="H17" t="s">
        <v>85</v>
      </c>
    </row>
    <row r="18" spans="1:8" x14ac:dyDescent="0.25">
      <c r="A18" t="s">
        <v>101</v>
      </c>
      <c r="B18" t="s">
        <v>26</v>
      </c>
      <c r="C18" t="s">
        <v>47</v>
      </c>
      <c r="D18" s="56">
        <f>'Influence Matrix'!B19</f>
        <v>0</v>
      </c>
      <c r="G18" t="s">
        <v>78</v>
      </c>
      <c r="H18" t="s">
        <v>78</v>
      </c>
    </row>
    <row r="19" spans="1:8" x14ac:dyDescent="0.25">
      <c r="A19" t="s">
        <v>102</v>
      </c>
      <c r="B19" t="s">
        <v>26</v>
      </c>
      <c r="C19" t="s">
        <v>19</v>
      </c>
      <c r="D19" s="37">
        <f>'Influence Matrix'!B20</f>
        <v>-0.12</v>
      </c>
      <c r="G19" t="s">
        <v>78</v>
      </c>
      <c r="H19" t="s">
        <v>85</v>
      </c>
    </row>
    <row r="20" spans="1:8" x14ac:dyDescent="0.25">
      <c r="A20" t="s">
        <v>103</v>
      </c>
      <c r="B20" t="s">
        <v>26</v>
      </c>
      <c r="C20" t="s">
        <v>31</v>
      </c>
      <c r="D20" s="37">
        <f>'Influence Matrix'!B21</f>
        <v>-0.13</v>
      </c>
      <c r="G20" t="s">
        <v>78</v>
      </c>
      <c r="H20" t="s">
        <v>85</v>
      </c>
    </row>
    <row r="21" spans="1:8" x14ac:dyDescent="0.25">
      <c r="A21" t="s">
        <v>104</v>
      </c>
      <c r="B21" t="s">
        <v>26</v>
      </c>
      <c r="C21" t="s">
        <v>32</v>
      </c>
      <c r="D21" s="37">
        <f>'Influence Matrix'!B22</f>
        <v>0.17</v>
      </c>
      <c r="G21" t="s">
        <v>85</v>
      </c>
      <c r="H21" t="s">
        <v>125</v>
      </c>
    </row>
    <row r="22" spans="1:8" x14ac:dyDescent="0.25">
      <c r="A22" t="s">
        <v>105</v>
      </c>
      <c r="B22" t="s">
        <v>26</v>
      </c>
      <c r="C22" t="s">
        <v>33</v>
      </c>
      <c r="D22" s="37">
        <f>'Influence Matrix'!B23</f>
        <v>-0.14000000000000001</v>
      </c>
      <c r="G22" t="s">
        <v>78</v>
      </c>
      <c r="H22" t="s">
        <v>85</v>
      </c>
    </row>
    <row r="23" spans="1:8" x14ac:dyDescent="0.25">
      <c r="A23" t="s">
        <v>106</v>
      </c>
      <c r="B23" t="s">
        <v>26</v>
      </c>
      <c r="C23" t="s">
        <v>6</v>
      </c>
      <c r="D23" s="56">
        <f>'Influence Matrix'!B24</f>
        <v>0.3</v>
      </c>
      <c r="G23" t="s">
        <v>78</v>
      </c>
      <c r="H23" t="s">
        <v>78</v>
      </c>
    </row>
    <row r="24" spans="1:8" x14ac:dyDescent="0.25">
      <c r="A24" t="s">
        <v>107</v>
      </c>
      <c r="B24" t="s">
        <v>26</v>
      </c>
      <c r="C24" t="s">
        <v>7</v>
      </c>
      <c r="D24" s="37">
        <f>'Influence Matrix'!B25</f>
        <v>-7.0000000000000007E-2</v>
      </c>
      <c r="G24" t="s">
        <v>85</v>
      </c>
      <c r="H24" t="s">
        <v>85</v>
      </c>
    </row>
    <row r="25" spans="1:8" x14ac:dyDescent="0.25">
      <c r="A25" t="s">
        <v>108</v>
      </c>
      <c r="B25" t="s">
        <v>26</v>
      </c>
      <c r="C25" t="s">
        <v>8</v>
      </c>
      <c r="D25" s="56">
        <f>'Influence Matrix'!B26</f>
        <v>0</v>
      </c>
      <c r="G25" t="s">
        <v>78</v>
      </c>
      <c r="H25" t="s">
        <v>78</v>
      </c>
    </row>
    <row r="26" spans="1:8" x14ac:dyDescent="0.25">
      <c r="A26" t="s">
        <v>109</v>
      </c>
      <c r="B26" t="s">
        <v>26</v>
      </c>
      <c r="C26" t="s">
        <v>9</v>
      </c>
      <c r="D26" s="56">
        <f>'Influence Matrix'!B27</f>
        <v>-0.2</v>
      </c>
      <c r="G26" t="s">
        <v>78</v>
      </c>
      <c r="H26" t="s">
        <v>78</v>
      </c>
    </row>
    <row r="27" spans="1:8" x14ac:dyDescent="0.25">
      <c r="A27" t="s">
        <v>152</v>
      </c>
      <c r="B27" t="s">
        <v>26</v>
      </c>
      <c r="C27" t="s">
        <v>154</v>
      </c>
      <c r="D27" s="37">
        <f>'Influence Matrix'!B28</f>
        <v>0.25</v>
      </c>
      <c r="G27" t="s">
        <v>78</v>
      </c>
      <c r="H27" t="s">
        <v>85</v>
      </c>
    </row>
    <row r="28" spans="1:8" x14ac:dyDescent="0.25">
      <c r="A28" t="s">
        <v>110</v>
      </c>
      <c r="B28" t="s">
        <v>26</v>
      </c>
      <c r="C28" t="s">
        <v>10</v>
      </c>
      <c r="D28" s="37">
        <f>'Influence Matrix'!B29</f>
        <v>-0.21</v>
      </c>
      <c r="G28" t="s">
        <v>78</v>
      </c>
      <c r="H28" t="s">
        <v>78</v>
      </c>
    </row>
    <row r="29" spans="1:8" x14ac:dyDescent="0.25">
      <c r="A29" t="s">
        <v>111</v>
      </c>
      <c r="B29" t="s">
        <v>26</v>
      </c>
      <c r="C29" t="s">
        <v>20</v>
      </c>
      <c r="D29" s="37">
        <f>'Influence Matrix'!B30</f>
        <v>-0.11</v>
      </c>
      <c r="G29" t="s">
        <v>85</v>
      </c>
      <c r="H29" t="s">
        <v>85</v>
      </c>
    </row>
    <row r="30" spans="1:8" x14ac:dyDescent="0.25">
      <c r="A30" t="s">
        <v>112</v>
      </c>
      <c r="B30" t="s">
        <v>26</v>
      </c>
      <c r="C30" t="s">
        <v>11</v>
      </c>
      <c r="D30" s="37">
        <f>'Influence Matrix'!B31</f>
        <v>-0.35</v>
      </c>
      <c r="G30" t="s">
        <v>78</v>
      </c>
      <c r="H30" t="s">
        <v>78</v>
      </c>
    </row>
    <row r="31" spans="1:8" x14ac:dyDescent="0.25">
      <c r="A31" t="s">
        <v>113</v>
      </c>
      <c r="B31" t="s">
        <v>26</v>
      </c>
      <c r="C31" t="s">
        <v>170</v>
      </c>
      <c r="D31" s="37">
        <f>'Influence Matrix'!B32</f>
        <v>-0.16</v>
      </c>
      <c r="G31" t="s">
        <v>78</v>
      </c>
      <c r="H31" t="s">
        <v>78</v>
      </c>
    </row>
    <row r="32" spans="1:8" x14ac:dyDescent="0.25">
      <c r="A32" t="s">
        <v>114</v>
      </c>
      <c r="B32" t="s">
        <v>26</v>
      </c>
      <c r="C32" t="s">
        <v>12</v>
      </c>
      <c r="D32" s="56">
        <f>'Influence Matrix'!B33</f>
        <v>0</v>
      </c>
      <c r="G32" t="s">
        <v>78</v>
      </c>
      <c r="H32" t="s">
        <v>78</v>
      </c>
    </row>
    <row r="33" spans="1:8" x14ac:dyDescent="0.25">
      <c r="A33" t="s">
        <v>115</v>
      </c>
      <c r="B33" t="s">
        <v>26</v>
      </c>
      <c r="C33" t="s">
        <v>13</v>
      </c>
      <c r="D33" s="56">
        <f>'Influence Matrix'!B34</f>
        <v>0</v>
      </c>
      <c r="G33" t="s">
        <v>78</v>
      </c>
      <c r="H33" t="s">
        <v>78</v>
      </c>
    </row>
    <row r="34" spans="1:8" x14ac:dyDescent="0.25">
      <c r="A34" t="s">
        <v>116</v>
      </c>
      <c r="B34" t="s">
        <v>26</v>
      </c>
      <c r="C34" t="s">
        <v>25</v>
      </c>
      <c r="D34" s="37">
        <f>'Influence Matrix'!B35</f>
        <v>0.33</v>
      </c>
      <c r="G34" t="s">
        <v>78</v>
      </c>
      <c r="H34" t="s">
        <v>78</v>
      </c>
    </row>
    <row r="35" spans="1:8" x14ac:dyDescent="0.25">
      <c r="A35" t="s">
        <v>117</v>
      </c>
      <c r="B35" t="s">
        <v>26</v>
      </c>
      <c r="C35" t="s">
        <v>14</v>
      </c>
      <c r="D35" s="37">
        <f>'Influence Matrix'!B36</f>
        <v>-0.12</v>
      </c>
      <c r="G35" t="s">
        <v>78</v>
      </c>
      <c r="H35" t="s">
        <v>85</v>
      </c>
    </row>
    <row r="36" spans="1:8" x14ac:dyDescent="0.25">
      <c r="A36" t="s">
        <v>118</v>
      </c>
      <c r="B36" t="s">
        <v>26</v>
      </c>
      <c r="C36" t="s">
        <v>29</v>
      </c>
      <c r="D36" s="37">
        <f>'Influence Matrix'!B37</f>
        <v>-0.38</v>
      </c>
      <c r="E36" t="s">
        <v>84</v>
      </c>
      <c r="G36" t="s">
        <v>78</v>
      </c>
      <c r="H36" t="s">
        <v>78</v>
      </c>
    </row>
    <row r="37" spans="1:8" x14ac:dyDescent="0.25">
      <c r="A37" t="s">
        <v>119</v>
      </c>
      <c r="B37" t="s">
        <v>26</v>
      </c>
      <c r="C37" t="s">
        <v>15</v>
      </c>
      <c r="D37" s="56">
        <f>'Influence Matrix'!B38</f>
        <v>-0.1</v>
      </c>
      <c r="G37" t="s">
        <v>78</v>
      </c>
      <c r="H37" t="s">
        <v>85</v>
      </c>
    </row>
    <row r="38" spans="1:8" x14ac:dyDescent="0.25">
      <c r="A38" t="s">
        <v>120</v>
      </c>
      <c r="B38" t="s">
        <v>26</v>
      </c>
      <c r="C38" t="s">
        <v>49</v>
      </c>
      <c r="D38" s="37">
        <f>'Influence Matrix'!B39</f>
        <v>0.31</v>
      </c>
      <c r="G38" t="s">
        <v>78</v>
      </c>
      <c r="H38" t="s">
        <v>85</v>
      </c>
    </row>
    <row r="39" spans="1:8" x14ac:dyDescent="0.25">
      <c r="A39" t="s">
        <v>121</v>
      </c>
      <c r="B39" t="s">
        <v>26</v>
      </c>
      <c r="C39" t="s">
        <v>17</v>
      </c>
      <c r="D39" s="56">
        <f>'Influence Matrix'!B40</f>
        <v>0</v>
      </c>
      <c r="G39" t="s">
        <v>78</v>
      </c>
      <c r="H39" t="s">
        <v>78</v>
      </c>
    </row>
    <row r="40" spans="1:8" x14ac:dyDescent="0.25">
      <c r="A40" t="s">
        <v>122</v>
      </c>
      <c r="B40" t="s">
        <v>26</v>
      </c>
      <c r="C40" t="s">
        <v>34</v>
      </c>
      <c r="D40" s="56">
        <f>'Influence Matrix'!B41</f>
        <v>0</v>
      </c>
      <c r="G40" t="s">
        <v>78</v>
      </c>
      <c r="H40" t="s">
        <v>78</v>
      </c>
    </row>
    <row r="41" spans="1:8" x14ac:dyDescent="0.25">
      <c r="A41" t="s">
        <v>123</v>
      </c>
      <c r="B41" t="s">
        <v>26</v>
      </c>
      <c r="C41" t="s">
        <v>24</v>
      </c>
      <c r="D41" s="56">
        <f>'Influence Matrix'!B42</f>
        <v>0</v>
      </c>
      <c r="G41" t="s">
        <v>78</v>
      </c>
      <c r="H41" t="s">
        <v>78</v>
      </c>
    </row>
    <row r="42" spans="1:8" x14ac:dyDescent="0.25">
      <c r="A42" t="s">
        <v>124</v>
      </c>
      <c r="B42" t="s">
        <v>26</v>
      </c>
      <c r="C42" t="s">
        <v>48</v>
      </c>
      <c r="D42" s="37">
        <f>'Influence Matrix'!B43</f>
        <v>0.22</v>
      </c>
      <c r="G42" t="s">
        <v>78</v>
      </c>
      <c r="H42" t="s">
        <v>85</v>
      </c>
    </row>
    <row r="43" spans="1:8" x14ac:dyDescent="0.25">
      <c r="A43" t="s">
        <v>127</v>
      </c>
      <c r="B43" t="s">
        <v>0</v>
      </c>
      <c r="C43" t="s">
        <v>26</v>
      </c>
      <c r="D43" s="56">
        <f>'Influence Matrix'!C2</f>
        <v>0.05</v>
      </c>
    </row>
    <row r="44" spans="1:8" x14ac:dyDescent="0.25">
      <c r="A44" t="s">
        <v>128</v>
      </c>
      <c r="B44" t="s">
        <v>0</v>
      </c>
      <c r="C44" t="s">
        <v>42</v>
      </c>
      <c r="D44" s="56">
        <f>'Influence Matrix'!C4</f>
        <v>0.14000000000000001</v>
      </c>
    </row>
    <row r="45" spans="1:8" x14ac:dyDescent="0.25">
      <c r="A45" t="s">
        <v>129</v>
      </c>
      <c r="B45" t="s">
        <v>0</v>
      </c>
      <c r="C45" t="s">
        <v>1</v>
      </c>
      <c r="D45" s="56">
        <f>'Influence Matrix'!C5</f>
        <v>0.13</v>
      </c>
    </row>
    <row r="46" spans="1:8" x14ac:dyDescent="0.25">
      <c r="A46" t="s">
        <v>130</v>
      </c>
      <c r="B46" t="s">
        <v>0</v>
      </c>
      <c r="C46" t="s">
        <v>2</v>
      </c>
      <c r="D46" s="56">
        <f>'Influence Matrix'!C6</f>
        <v>0</v>
      </c>
    </row>
    <row r="47" spans="1:8" x14ac:dyDescent="0.25">
      <c r="A47" t="s">
        <v>131</v>
      </c>
      <c r="B47" t="s">
        <v>0</v>
      </c>
      <c r="C47" t="s">
        <v>35</v>
      </c>
      <c r="D47" s="56">
        <f>'Influence Matrix'!C7</f>
        <v>-0.16</v>
      </c>
    </row>
    <row r="48" spans="1:8" x14ac:dyDescent="0.25">
      <c r="A48" t="s">
        <v>132</v>
      </c>
      <c r="B48" t="s">
        <v>0</v>
      </c>
      <c r="C48" t="s">
        <v>3</v>
      </c>
      <c r="D48" s="56">
        <f>'Influence Matrix'!C8</f>
        <v>-0.13</v>
      </c>
    </row>
    <row r="49" spans="1:4" x14ac:dyDescent="0.25">
      <c r="A49" t="s">
        <v>133</v>
      </c>
      <c r="B49" t="s">
        <v>0</v>
      </c>
      <c r="C49" t="s">
        <v>4</v>
      </c>
      <c r="D49" s="56">
        <f>'Influence Matrix'!C9</f>
        <v>0.14000000000000001</v>
      </c>
    </row>
    <row r="50" spans="1:4" x14ac:dyDescent="0.25">
      <c r="A50" t="s">
        <v>134</v>
      </c>
      <c r="B50" t="s">
        <v>0</v>
      </c>
      <c r="C50" t="s">
        <v>50</v>
      </c>
      <c r="D50" s="56">
        <f>'Influence Matrix'!C10</f>
        <v>0.12</v>
      </c>
    </row>
    <row r="51" spans="1:4" x14ac:dyDescent="0.25">
      <c r="A51" t="s">
        <v>135</v>
      </c>
      <c r="B51" t="s">
        <v>0</v>
      </c>
      <c r="C51" t="s">
        <v>21</v>
      </c>
      <c r="D51" s="56">
        <f>'Influence Matrix'!C11</f>
        <v>0.11</v>
      </c>
    </row>
    <row r="52" spans="1:4" x14ac:dyDescent="0.25">
      <c r="A52" t="s">
        <v>136</v>
      </c>
      <c r="B52" t="s">
        <v>0</v>
      </c>
      <c r="C52" t="s">
        <v>30</v>
      </c>
      <c r="D52" s="56">
        <f>'Influence Matrix'!C12</f>
        <v>0.09</v>
      </c>
    </row>
    <row r="53" spans="1:4" x14ac:dyDescent="0.25">
      <c r="A53" t="s">
        <v>137</v>
      </c>
      <c r="B53" t="s">
        <v>0</v>
      </c>
      <c r="C53" t="s">
        <v>22</v>
      </c>
      <c r="D53" s="56">
        <f>'Influence Matrix'!C13</f>
        <v>-0.08</v>
      </c>
    </row>
    <row r="54" spans="1:4" x14ac:dyDescent="0.25">
      <c r="A54" t="s">
        <v>138</v>
      </c>
      <c r="B54" t="s">
        <v>0</v>
      </c>
      <c r="C54" t="s">
        <v>23</v>
      </c>
      <c r="D54" s="56">
        <f>'Influence Matrix'!C14</f>
        <v>0.12</v>
      </c>
    </row>
    <row r="55" spans="1:4" x14ac:dyDescent="0.25">
      <c r="A55" t="s">
        <v>139</v>
      </c>
      <c r="B55" t="s">
        <v>0</v>
      </c>
      <c r="C55" t="s">
        <v>5</v>
      </c>
      <c r="D55" s="56">
        <f>'Influence Matrix'!C15</f>
        <v>0.24</v>
      </c>
    </row>
    <row r="56" spans="1:4" x14ac:dyDescent="0.25">
      <c r="A56" t="s">
        <v>140</v>
      </c>
      <c r="B56" t="s">
        <v>0</v>
      </c>
      <c r="C56" t="s">
        <v>36</v>
      </c>
      <c r="D56" s="56">
        <f>'Influence Matrix'!C16</f>
        <v>0.13</v>
      </c>
    </row>
    <row r="57" spans="1:4" x14ac:dyDescent="0.25">
      <c r="A57" t="s">
        <v>141</v>
      </c>
      <c r="B57" t="s">
        <v>0</v>
      </c>
      <c r="C57" t="s">
        <v>18</v>
      </c>
      <c r="D57" s="56">
        <f>'Influence Matrix'!C17</f>
        <v>-0.11</v>
      </c>
    </row>
    <row r="58" spans="1:4" x14ac:dyDescent="0.25">
      <c r="A58" t="s">
        <v>142</v>
      </c>
      <c r="B58" t="s">
        <v>0</v>
      </c>
      <c r="C58" t="s">
        <v>43</v>
      </c>
      <c r="D58" s="56">
        <f>'Influence Matrix'!C18</f>
        <v>0.22</v>
      </c>
    </row>
    <row r="59" spans="1:4" x14ac:dyDescent="0.25">
      <c r="A59" t="s">
        <v>143</v>
      </c>
      <c r="B59" t="s">
        <v>0</v>
      </c>
      <c r="C59" t="s">
        <v>47</v>
      </c>
      <c r="D59" s="56">
        <f>'Influence Matrix'!C19</f>
        <v>-0.08</v>
      </c>
    </row>
    <row r="60" spans="1:4" x14ac:dyDescent="0.25">
      <c r="A60" t="s">
        <v>144</v>
      </c>
      <c r="B60" t="s">
        <v>0</v>
      </c>
      <c r="C60" t="s">
        <v>19</v>
      </c>
      <c r="D60" s="56">
        <f>'Influence Matrix'!C20</f>
        <v>0.01</v>
      </c>
    </row>
    <row r="61" spans="1:4" x14ac:dyDescent="0.25">
      <c r="A61" t="s">
        <v>145</v>
      </c>
      <c r="B61" t="s">
        <v>0</v>
      </c>
      <c r="C61" t="s">
        <v>31</v>
      </c>
      <c r="D61" s="56">
        <f>'Influence Matrix'!C21</f>
        <v>-0.13</v>
      </c>
    </row>
    <row r="62" spans="1:4" x14ac:dyDescent="0.25">
      <c r="A62" t="s">
        <v>146</v>
      </c>
      <c r="B62" t="s">
        <v>0</v>
      </c>
      <c r="C62" t="s">
        <v>32</v>
      </c>
      <c r="D62" s="56">
        <f>'Influence Matrix'!C22</f>
        <v>0.11</v>
      </c>
    </row>
    <row r="63" spans="1:4" x14ac:dyDescent="0.25">
      <c r="A63" t="s">
        <v>147</v>
      </c>
      <c r="B63" t="s">
        <v>0</v>
      </c>
      <c r="C63" t="s">
        <v>33</v>
      </c>
      <c r="D63" s="56">
        <f>'Influence Matrix'!C23</f>
        <v>-7.0000000000000007E-2</v>
      </c>
    </row>
    <row r="64" spans="1:4" x14ac:dyDescent="0.25">
      <c r="A64" t="s">
        <v>148</v>
      </c>
      <c r="B64" t="s">
        <v>0</v>
      </c>
      <c r="C64" t="s">
        <v>6</v>
      </c>
      <c r="D64" s="56">
        <f>'Influence Matrix'!C24</f>
        <v>7.0000000000000007E-2</v>
      </c>
    </row>
    <row r="65" spans="1:4" x14ac:dyDescent="0.25">
      <c r="A65" t="s">
        <v>149</v>
      </c>
      <c r="B65" t="s">
        <v>0</v>
      </c>
      <c r="C65" t="s">
        <v>7</v>
      </c>
      <c r="D65" s="56">
        <f>'Influence Matrix'!C25</f>
        <v>0.21</v>
      </c>
    </row>
    <row r="66" spans="1:4" x14ac:dyDescent="0.25">
      <c r="A66" t="s">
        <v>150</v>
      </c>
      <c r="B66" t="s">
        <v>0</v>
      </c>
      <c r="C66" t="s">
        <v>8</v>
      </c>
      <c r="D66" s="56">
        <f>'Influence Matrix'!C26</f>
        <v>0.38</v>
      </c>
    </row>
    <row r="67" spans="1:4" x14ac:dyDescent="0.25">
      <c r="A67" t="s">
        <v>151</v>
      </c>
      <c r="B67" t="s">
        <v>0</v>
      </c>
      <c r="C67" t="s">
        <v>9</v>
      </c>
      <c r="D67" s="56">
        <f>'Influence Matrix'!C27</f>
        <v>0.33</v>
      </c>
    </row>
    <row r="68" spans="1:4" x14ac:dyDescent="0.25">
      <c r="A68" t="s">
        <v>153</v>
      </c>
      <c r="B68" t="s">
        <v>0</v>
      </c>
      <c r="C68" t="s">
        <v>154</v>
      </c>
      <c r="D68" s="56">
        <f>'Influence Matrix'!C28</f>
        <v>-0.09</v>
      </c>
    </row>
    <row r="69" spans="1:4" x14ac:dyDescent="0.25">
      <c r="A69" t="s">
        <v>155</v>
      </c>
      <c r="B69" t="s">
        <v>0</v>
      </c>
      <c r="C69" t="s">
        <v>10</v>
      </c>
      <c r="D69" s="56">
        <f>'Influence Matrix'!C29</f>
        <v>0.25</v>
      </c>
    </row>
    <row r="70" spans="1:4" x14ac:dyDescent="0.25">
      <c r="A70" t="s">
        <v>156</v>
      </c>
      <c r="B70" t="s">
        <v>0</v>
      </c>
      <c r="C70" t="s">
        <v>20</v>
      </c>
      <c r="D70" s="56">
        <f>'Influence Matrix'!C30</f>
        <v>0.27</v>
      </c>
    </row>
    <row r="71" spans="1:4" x14ac:dyDescent="0.25">
      <c r="A71" t="s">
        <v>157</v>
      </c>
      <c r="B71" t="s">
        <v>0</v>
      </c>
      <c r="C71" t="s">
        <v>11</v>
      </c>
      <c r="D71" s="56">
        <f>'Influence Matrix'!C31</f>
        <v>-0.15</v>
      </c>
    </row>
    <row r="72" spans="1:4" x14ac:dyDescent="0.25">
      <c r="A72" t="s">
        <v>158</v>
      </c>
      <c r="B72" t="s">
        <v>0</v>
      </c>
      <c r="C72" t="s">
        <v>170</v>
      </c>
      <c r="D72" s="56">
        <f>'Influence Matrix'!C32</f>
        <v>0</v>
      </c>
    </row>
    <row r="73" spans="1:4" x14ac:dyDescent="0.25">
      <c r="A73" t="s">
        <v>159</v>
      </c>
      <c r="B73" t="s">
        <v>0</v>
      </c>
      <c r="C73" t="s">
        <v>12</v>
      </c>
      <c r="D73" s="56">
        <f>'Influence Matrix'!C33</f>
        <v>0.28000000000000003</v>
      </c>
    </row>
    <row r="74" spans="1:4" x14ac:dyDescent="0.25">
      <c r="A74" t="s">
        <v>160</v>
      </c>
      <c r="B74" t="s">
        <v>0</v>
      </c>
      <c r="C74" t="s">
        <v>13</v>
      </c>
      <c r="D74" s="56">
        <f>'Influence Matrix'!C34</f>
        <v>0.31</v>
      </c>
    </row>
    <row r="75" spans="1:4" x14ac:dyDescent="0.25">
      <c r="A75" t="s">
        <v>161</v>
      </c>
      <c r="B75" t="s">
        <v>0</v>
      </c>
      <c r="C75" t="s">
        <v>25</v>
      </c>
      <c r="D75" s="56">
        <f>'Influence Matrix'!C35</f>
        <v>-0.24</v>
      </c>
    </row>
    <row r="76" spans="1:4" x14ac:dyDescent="0.25">
      <c r="A76" t="s">
        <v>162</v>
      </c>
      <c r="B76" t="s">
        <v>0</v>
      </c>
      <c r="C76" t="s">
        <v>14</v>
      </c>
      <c r="D76" s="56">
        <f>'Influence Matrix'!C36</f>
        <v>0</v>
      </c>
    </row>
    <row r="77" spans="1:4" x14ac:dyDescent="0.25">
      <c r="A77" t="s">
        <v>163</v>
      </c>
      <c r="B77" t="s">
        <v>0</v>
      </c>
      <c r="C77" t="s">
        <v>29</v>
      </c>
      <c r="D77" s="56">
        <f>'Influence Matrix'!C37</f>
        <v>0.2</v>
      </c>
    </row>
    <row r="78" spans="1:4" x14ac:dyDescent="0.25">
      <c r="A78" t="s">
        <v>164</v>
      </c>
      <c r="B78" t="s">
        <v>0</v>
      </c>
      <c r="C78" t="s">
        <v>15</v>
      </c>
      <c r="D78" s="56">
        <f>'Influence Matrix'!C38</f>
        <v>0.3</v>
      </c>
    </row>
    <row r="79" spans="1:4" x14ac:dyDescent="0.25">
      <c r="A79" t="s">
        <v>165</v>
      </c>
      <c r="B79" t="s">
        <v>0</v>
      </c>
      <c r="C79" t="s">
        <v>49</v>
      </c>
      <c r="D79" s="56">
        <f>'Influence Matrix'!C39</f>
        <v>0.3</v>
      </c>
    </row>
    <row r="80" spans="1:4" x14ac:dyDescent="0.25">
      <c r="A80" t="s">
        <v>166</v>
      </c>
      <c r="B80" t="s">
        <v>0</v>
      </c>
      <c r="C80" t="s">
        <v>17</v>
      </c>
      <c r="D80" s="56">
        <f>'Influence Matrix'!C40</f>
        <v>0.08</v>
      </c>
    </row>
    <row r="81" spans="1:4" x14ac:dyDescent="0.25">
      <c r="A81" t="s">
        <v>167</v>
      </c>
      <c r="B81" t="s">
        <v>0</v>
      </c>
      <c r="C81" t="s">
        <v>34</v>
      </c>
      <c r="D81" s="56">
        <f>'Influence Matrix'!C41</f>
        <v>0.3</v>
      </c>
    </row>
    <row r="82" spans="1:4" x14ac:dyDescent="0.25">
      <c r="A82" t="s">
        <v>168</v>
      </c>
      <c r="B82" t="s">
        <v>0</v>
      </c>
      <c r="C82" t="s">
        <v>24</v>
      </c>
      <c r="D82" s="56">
        <f>'Influence Matrix'!C42</f>
        <v>0.2</v>
      </c>
    </row>
    <row r="83" spans="1:4" x14ac:dyDescent="0.25">
      <c r="A83" t="s">
        <v>169</v>
      </c>
      <c r="B83" t="s">
        <v>0</v>
      </c>
      <c r="C83" t="s">
        <v>48</v>
      </c>
      <c r="D83" s="56">
        <f>'Influence Matrix'!C43</f>
        <v>0.18</v>
      </c>
    </row>
  </sheetData>
  <dataValidations count="4">
    <dataValidation type="list" allowBlank="1" showInputMessage="1" showErrorMessage="1" sqref="G2:H1048576" xr:uid="{F3DCAA38-BAC3-4296-98AD-A314FA619FB6}">
      <formula1>"Low, Medium, High"</formula1>
    </dataValidation>
    <dataValidation type="decimal" showInputMessage="1" showErrorMessage="1" sqref="D84:D1048576" xr:uid="{869C6FF6-043B-45A3-8B60-0FF10F7D0D0F}">
      <formula1>-1</formula1>
      <formula2>1</formula2>
    </dataValidation>
    <dataValidation showInputMessage="1" showErrorMessage="1" sqref="I1:I1048576" xr:uid="{FEF96664-91BF-43A9-A085-9D2208DE7345}"/>
    <dataValidation type="decimal" showInputMessage="1" showErrorMessage="1" sqref="D2:D42 D43:D83" xr:uid="{1F03A9EA-0AC9-4896-A8A2-7923BFD1EFBC}">
      <formula1>-1</formula1>
      <formula2>1</formula2>
    </dataValidation>
  </dataValidations>
  <pageMargins left="0.7" right="0.7" top="0.75" bottom="0.75" header="0.3" footer="0.3"/>
  <ignoredErrors>
    <ignoredError sqref="D43 D44:D83" calculatedColumn="1"/>
  </ignoredErrors>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A6C0E7A7-BE8F-4752-9A73-3914F825B953}">
          <x14:formula1>
            <xm:f>Enums!$A$2:$A$6</xm:f>
          </x14:formula1>
          <xm:sqref>E2:E1048576</xm:sqref>
        </x14:dataValidation>
        <x14:dataValidation type="list" allowBlank="1" showInputMessage="1" showErrorMessage="1" xr:uid="{98382BA0-CA11-4337-AC06-25E03B996D73}">
          <x14:formula1>
            <xm:f>Sliders!$A$1:$A$42</xm:f>
          </x14:formula1>
          <xm:sqref>B2:B1048576 C2:C1048576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29F6B-4F53-41D8-AF16-43616E62B79A}">
  <dimension ref="A1:M42"/>
  <sheetViews>
    <sheetView zoomScale="85" zoomScaleNormal="85" workbookViewId="0">
      <selection activeCell="M39" sqref="M39"/>
    </sheetView>
  </sheetViews>
  <sheetFormatPr defaultRowHeight="15" x14ac:dyDescent="0.25"/>
  <cols>
    <col min="1" max="1" width="25.85546875" customWidth="1"/>
    <col min="2" max="2" width="8.42578125" customWidth="1"/>
    <col min="6" max="6" width="16" style="2" customWidth="1"/>
  </cols>
  <sheetData>
    <row r="1" spans="1:13" x14ac:dyDescent="0.25">
      <c r="A1" s="19" t="s">
        <v>26</v>
      </c>
      <c r="B1" s="1"/>
    </row>
    <row r="2" spans="1:13" ht="15.75" thickBot="1" x14ac:dyDescent="0.3">
      <c r="A2" s="20" t="s">
        <v>0</v>
      </c>
      <c r="B2" s="1"/>
    </row>
    <row r="3" spans="1:13" ht="15.75" thickBot="1" x14ac:dyDescent="0.3">
      <c r="A3" s="20" t="s">
        <v>42</v>
      </c>
      <c r="B3" s="1"/>
      <c r="F3" s="22" t="s">
        <v>63</v>
      </c>
    </row>
    <row r="4" spans="1:13" ht="15.75" thickBot="1" x14ac:dyDescent="0.3">
      <c r="A4" s="20" t="s">
        <v>1</v>
      </c>
      <c r="B4" s="1"/>
      <c r="C4" s="49" t="s">
        <v>58</v>
      </c>
      <c r="D4" s="50"/>
      <c r="F4" s="10" t="s">
        <v>62</v>
      </c>
      <c r="J4" s="46" t="s">
        <v>52</v>
      </c>
      <c r="K4" s="47"/>
      <c r="L4" s="47"/>
      <c r="M4" s="48"/>
    </row>
    <row r="5" spans="1:13" ht="16.5" thickTop="1" thickBot="1" x14ac:dyDescent="0.3">
      <c r="A5" s="20" t="s">
        <v>2</v>
      </c>
      <c r="B5" s="1"/>
      <c r="C5" s="51"/>
      <c r="D5" s="52"/>
      <c r="F5" s="17" t="s">
        <v>51</v>
      </c>
      <c r="J5" s="12"/>
      <c r="M5" s="13"/>
    </row>
    <row r="6" spans="1:13" ht="16.5" thickTop="1" thickBot="1" x14ac:dyDescent="0.3">
      <c r="A6" s="20" t="s">
        <v>35</v>
      </c>
      <c r="B6" s="1"/>
      <c r="C6" s="53"/>
      <c r="D6" s="54"/>
      <c r="F6" s="17" t="s">
        <v>60</v>
      </c>
      <c r="J6" s="12"/>
      <c r="M6" s="13"/>
    </row>
    <row r="7" spans="1:13" x14ac:dyDescent="0.25">
      <c r="A7" s="20" t="s">
        <v>3</v>
      </c>
      <c r="B7" s="1"/>
      <c r="F7" s="17" t="s">
        <v>59</v>
      </c>
      <c r="J7" s="12"/>
      <c r="M7" s="13"/>
    </row>
    <row r="8" spans="1:13" x14ac:dyDescent="0.25">
      <c r="A8" s="20" t="s">
        <v>4</v>
      </c>
      <c r="B8" s="1"/>
      <c r="F8" s="17" t="s">
        <v>27</v>
      </c>
      <c r="J8" s="12"/>
      <c r="M8" s="13"/>
    </row>
    <row r="9" spans="1:13" x14ac:dyDescent="0.25">
      <c r="A9" s="20" t="s">
        <v>50</v>
      </c>
      <c r="B9" s="1"/>
      <c r="F9" s="17" t="s">
        <v>16</v>
      </c>
      <c r="J9" s="12"/>
      <c r="M9" s="13"/>
    </row>
    <row r="10" spans="1:13" x14ac:dyDescent="0.25">
      <c r="A10" s="20" t="s">
        <v>21</v>
      </c>
      <c r="B10" s="1"/>
      <c r="F10" s="17" t="s">
        <v>28</v>
      </c>
      <c r="J10" s="12"/>
      <c r="M10" s="13"/>
    </row>
    <row r="11" spans="1:13" x14ac:dyDescent="0.25">
      <c r="A11" s="20" t="s">
        <v>30</v>
      </c>
      <c r="B11" s="1"/>
      <c r="F11" s="17" t="s">
        <v>61</v>
      </c>
      <c r="J11" s="12"/>
      <c r="M11" s="13"/>
    </row>
    <row r="12" spans="1:13" x14ac:dyDescent="0.25">
      <c r="A12" s="20" t="s">
        <v>22</v>
      </c>
      <c r="B12" s="1"/>
      <c r="F12" s="17" t="s">
        <v>41</v>
      </c>
      <c r="J12" s="12"/>
      <c r="M12" s="13"/>
    </row>
    <row r="13" spans="1:13" x14ac:dyDescent="0.25">
      <c r="A13" s="20" t="s">
        <v>23</v>
      </c>
      <c r="B13" s="1"/>
      <c r="F13" s="17" t="s">
        <v>53</v>
      </c>
      <c r="J13" s="12"/>
      <c r="M13" s="13"/>
    </row>
    <row r="14" spans="1:13" x14ac:dyDescent="0.25">
      <c r="A14" s="20" t="s">
        <v>5</v>
      </c>
      <c r="B14" s="1"/>
      <c r="F14" s="17" t="s">
        <v>64</v>
      </c>
      <c r="J14" s="12"/>
      <c r="M14" s="13"/>
    </row>
    <row r="15" spans="1:13" x14ac:dyDescent="0.25">
      <c r="A15" s="20" t="s">
        <v>36</v>
      </c>
      <c r="B15" s="1"/>
      <c r="F15" s="17" t="s">
        <v>65</v>
      </c>
      <c r="J15" s="12"/>
      <c r="M15" s="13"/>
    </row>
    <row r="16" spans="1:13" x14ac:dyDescent="0.25">
      <c r="A16" s="20" t="s">
        <v>18</v>
      </c>
      <c r="B16" s="1"/>
      <c r="F16" s="17" t="s">
        <v>66</v>
      </c>
      <c r="J16" s="12"/>
      <c r="M16" s="13"/>
    </row>
    <row r="17" spans="1:13" x14ac:dyDescent="0.25">
      <c r="A17" s="20" t="s">
        <v>43</v>
      </c>
      <c r="B17" s="1"/>
      <c r="F17" s="17"/>
      <c r="J17" s="12"/>
      <c r="M17" s="13"/>
    </row>
    <row r="18" spans="1:13" ht="15.75" thickBot="1" x14ac:dyDescent="0.3">
      <c r="A18" s="20" t="s">
        <v>47</v>
      </c>
      <c r="B18" s="1"/>
      <c r="F18" s="18"/>
      <c r="J18" s="12"/>
      <c r="M18" s="13"/>
    </row>
    <row r="19" spans="1:13" ht="15.75" thickBot="1" x14ac:dyDescent="0.3">
      <c r="A19" s="20" t="s">
        <v>19</v>
      </c>
      <c r="B19" s="1"/>
      <c r="J19" s="12"/>
      <c r="M19" s="13"/>
    </row>
    <row r="20" spans="1:13" x14ac:dyDescent="0.25">
      <c r="A20" s="20" t="s">
        <v>31</v>
      </c>
      <c r="B20" s="1"/>
      <c r="F20" s="11" t="s">
        <v>40</v>
      </c>
      <c r="J20" s="12"/>
      <c r="M20" s="13"/>
    </row>
    <row r="21" spans="1:13" x14ac:dyDescent="0.25">
      <c r="A21" s="20" t="s">
        <v>32</v>
      </c>
      <c r="B21" s="1"/>
      <c r="F21" s="4" t="s">
        <v>37</v>
      </c>
      <c r="J21" s="12"/>
      <c r="M21" s="13"/>
    </row>
    <row r="22" spans="1:13" x14ac:dyDescent="0.25">
      <c r="A22" s="20" t="s">
        <v>33</v>
      </c>
      <c r="B22" s="1"/>
      <c r="F22" s="5" t="s">
        <v>38</v>
      </c>
      <c r="J22" s="12"/>
      <c r="M22" s="13"/>
    </row>
    <row r="23" spans="1:13" x14ac:dyDescent="0.25">
      <c r="A23" s="20" t="s">
        <v>6</v>
      </c>
      <c r="B23" s="1"/>
      <c r="F23" s="5" t="s">
        <v>39</v>
      </c>
      <c r="J23" s="12"/>
      <c r="M23" s="13"/>
    </row>
    <row r="24" spans="1:13" x14ac:dyDescent="0.25">
      <c r="A24" s="20" t="s">
        <v>7</v>
      </c>
      <c r="B24" s="1"/>
      <c r="J24" s="12"/>
      <c r="M24" s="13"/>
    </row>
    <row r="25" spans="1:13" x14ac:dyDescent="0.25">
      <c r="A25" s="20" t="s">
        <v>8</v>
      </c>
      <c r="B25" s="1"/>
      <c r="J25" s="12"/>
      <c r="M25" s="13"/>
    </row>
    <row r="26" spans="1:13" ht="15.75" thickBot="1" x14ac:dyDescent="0.3">
      <c r="A26" s="20" t="s">
        <v>9</v>
      </c>
      <c r="B26" s="1"/>
      <c r="J26" s="14"/>
      <c r="K26" s="15"/>
      <c r="L26" s="15"/>
      <c r="M26" s="16"/>
    </row>
    <row r="27" spans="1:13" x14ac:dyDescent="0.25">
      <c r="A27" s="20" t="s">
        <v>154</v>
      </c>
      <c r="B27" s="1"/>
    </row>
    <row r="28" spans="1:13" x14ac:dyDescent="0.25">
      <c r="A28" s="20" t="s">
        <v>10</v>
      </c>
      <c r="B28" s="1"/>
    </row>
    <row r="29" spans="1:13" x14ac:dyDescent="0.25">
      <c r="A29" s="20" t="s">
        <v>20</v>
      </c>
      <c r="B29" s="1"/>
    </row>
    <row r="30" spans="1:13" x14ac:dyDescent="0.25">
      <c r="A30" s="20" t="s">
        <v>11</v>
      </c>
      <c r="B30" s="1"/>
    </row>
    <row r="31" spans="1:13" x14ac:dyDescent="0.25">
      <c r="A31" s="20" t="s">
        <v>170</v>
      </c>
      <c r="B31" s="1"/>
    </row>
    <row r="32" spans="1:13" x14ac:dyDescent="0.25">
      <c r="A32" s="20" t="s">
        <v>12</v>
      </c>
      <c r="B32" s="1"/>
    </row>
    <row r="33" spans="1:8" x14ac:dyDescent="0.25">
      <c r="A33" s="20" t="s">
        <v>13</v>
      </c>
      <c r="B33" s="1"/>
    </row>
    <row r="34" spans="1:8" x14ac:dyDescent="0.25">
      <c r="A34" s="20" t="s">
        <v>25</v>
      </c>
      <c r="B34" s="1"/>
    </row>
    <row r="35" spans="1:8" x14ac:dyDescent="0.25">
      <c r="A35" s="20" t="s">
        <v>14</v>
      </c>
      <c r="B35" s="1"/>
    </row>
    <row r="36" spans="1:8" x14ac:dyDescent="0.25">
      <c r="A36" s="20" t="s">
        <v>29</v>
      </c>
      <c r="B36" s="1"/>
      <c r="C36" s="39"/>
      <c r="D36" s="39"/>
      <c r="E36" s="39"/>
      <c r="F36" s="40"/>
      <c r="G36" s="39"/>
    </row>
    <row r="37" spans="1:8" x14ac:dyDescent="0.25">
      <c r="A37" s="20" t="s">
        <v>15</v>
      </c>
      <c r="B37" s="45"/>
      <c r="C37" s="55" t="s">
        <v>171</v>
      </c>
      <c r="D37" s="55"/>
      <c r="E37" s="55"/>
      <c r="F37" s="55"/>
      <c r="G37" s="55"/>
      <c r="H37" s="41"/>
    </row>
    <row r="38" spans="1:8" x14ac:dyDescent="0.25">
      <c r="A38" s="20" t="s">
        <v>49</v>
      </c>
      <c r="B38" s="44"/>
      <c r="C38" s="55"/>
      <c r="D38" s="55"/>
      <c r="E38" s="55"/>
      <c r="F38" s="55"/>
      <c r="G38" s="55"/>
      <c r="H38" s="41"/>
    </row>
    <row r="39" spans="1:8" x14ac:dyDescent="0.25">
      <c r="A39" s="20" t="s">
        <v>17</v>
      </c>
      <c r="B39" s="38"/>
      <c r="C39" s="55"/>
      <c r="D39" s="55"/>
      <c r="E39" s="55"/>
      <c r="F39" s="55"/>
      <c r="G39" s="55"/>
      <c r="H39" s="41"/>
    </row>
    <row r="40" spans="1:8" x14ac:dyDescent="0.25">
      <c r="A40" s="20" t="s">
        <v>34</v>
      </c>
      <c r="B40" s="38"/>
      <c r="C40" s="55"/>
      <c r="D40" s="55"/>
      <c r="E40" s="55"/>
      <c r="F40" s="55"/>
      <c r="G40" s="55"/>
      <c r="H40" s="41"/>
    </row>
    <row r="41" spans="1:8" x14ac:dyDescent="0.25">
      <c r="A41" s="20" t="s">
        <v>24</v>
      </c>
      <c r="B41" s="1"/>
      <c r="C41" s="42"/>
      <c r="D41" s="42"/>
      <c r="E41" s="42"/>
      <c r="F41" s="43"/>
      <c r="G41" s="42"/>
    </row>
    <row r="42" spans="1:8" ht="15.75" thickBot="1" x14ac:dyDescent="0.3">
      <c r="A42" s="21" t="s">
        <v>48</v>
      </c>
      <c r="B42" s="1"/>
    </row>
  </sheetData>
  <sortState xmlns:xlrd2="http://schemas.microsoft.com/office/spreadsheetml/2017/richdata2" ref="F4:F13">
    <sortCondition ref="F13"/>
  </sortState>
  <customSheetViews>
    <customSheetView guid="{C6883EF1-A235-4F7F-9B70-0CC3974E9739}" scale="85">
      <selection activeCell="E12" sqref="E12"/>
      <pageMargins left="0.7" right="0.7" top="0.75" bottom="0.75" header="0.3" footer="0.3"/>
      <pageSetup orientation="portrait" horizontalDpi="4294967293" verticalDpi="0" r:id="rId1"/>
    </customSheetView>
  </customSheetViews>
  <mergeCells count="3">
    <mergeCell ref="J4:M4"/>
    <mergeCell ref="C4:D6"/>
    <mergeCell ref="C37:G40"/>
  </mergeCells>
  <pageMargins left="0.7" right="0.7" top="0.75" bottom="0.75" header="0.3" footer="0.3"/>
  <pageSetup orientation="portrait" horizontalDpi="4294967293"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8546-2881-4668-A5C4-17806EA307E1}">
  <dimension ref="B2:I12"/>
  <sheetViews>
    <sheetView workbookViewId="0">
      <selection activeCell="I11" sqref="I11"/>
    </sheetView>
  </sheetViews>
  <sheetFormatPr defaultRowHeight="15" x14ac:dyDescent="0.25"/>
  <cols>
    <col min="9" max="9" width="13.7109375" customWidth="1"/>
  </cols>
  <sheetData>
    <row r="2" spans="2:9" ht="15.75" thickBot="1" x14ac:dyDescent="0.3"/>
    <row r="3" spans="2:9" ht="15.75" thickBot="1" x14ac:dyDescent="0.3">
      <c r="B3" s="63" t="s">
        <v>54</v>
      </c>
      <c r="C3" s="64"/>
      <c r="I3" s="68" t="s">
        <v>55</v>
      </c>
    </row>
    <row r="4" spans="2:9" x14ac:dyDescent="0.25">
      <c r="B4" s="57" t="s">
        <v>44</v>
      </c>
      <c r="C4" s="58"/>
      <c r="I4" s="65" t="s">
        <v>56</v>
      </c>
    </row>
    <row r="5" spans="2:9" x14ac:dyDescent="0.25">
      <c r="B5" s="59" t="s">
        <v>45</v>
      </c>
      <c r="C5" s="60"/>
      <c r="I5" s="66" t="s">
        <v>57</v>
      </c>
    </row>
    <row r="6" spans="2:9" ht="15.75" thickBot="1" x14ac:dyDescent="0.3">
      <c r="B6" s="61" t="s">
        <v>46</v>
      </c>
      <c r="C6" s="62"/>
      <c r="I6" s="66" t="s">
        <v>172</v>
      </c>
    </row>
    <row r="7" spans="2:9" x14ac:dyDescent="0.25">
      <c r="I7" s="66" t="s">
        <v>173</v>
      </c>
    </row>
    <row r="8" spans="2:9" x14ac:dyDescent="0.25">
      <c r="I8" s="66" t="s">
        <v>174</v>
      </c>
    </row>
    <row r="9" spans="2:9" x14ac:dyDescent="0.25">
      <c r="I9" s="66" t="s">
        <v>175</v>
      </c>
    </row>
    <row r="10" spans="2:9" x14ac:dyDescent="0.25">
      <c r="I10" s="66" t="s">
        <v>176</v>
      </c>
    </row>
    <row r="11" spans="2:9" x14ac:dyDescent="0.25">
      <c r="I11" s="66"/>
    </row>
    <row r="12" spans="2:9" ht="15.75" thickBot="1" x14ac:dyDescent="0.3">
      <c r="I12" s="67"/>
    </row>
  </sheetData>
  <mergeCells count="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FC294-CE62-4C9E-92EC-3060A4D95F8A}">
  <dimension ref="A1:A6"/>
  <sheetViews>
    <sheetView workbookViewId="0">
      <selection activeCell="A4" sqref="A4"/>
    </sheetView>
  </sheetViews>
  <sheetFormatPr defaultRowHeight="15" x14ac:dyDescent="0.25"/>
  <sheetData>
    <row r="1" spans="1:1" x14ac:dyDescent="0.25">
      <c r="A1" t="s">
        <v>81</v>
      </c>
    </row>
    <row r="2" spans="1:1" x14ac:dyDescent="0.25">
      <c r="A2" t="s">
        <v>77</v>
      </c>
    </row>
    <row r="3" spans="1:1" x14ac:dyDescent="0.25">
      <c r="A3" t="s">
        <v>76</v>
      </c>
    </row>
    <row r="4" spans="1:1" x14ac:dyDescent="0.25">
      <c r="A4" t="s">
        <v>82</v>
      </c>
    </row>
    <row r="5" spans="1:1" x14ac:dyDescent="0.25">
      <c r="A5" t="s">
        <v>83</v>
      </c>
    </row>
    <row r="6" spans="1:1" x14ac:dyDescent="0.25">
      <c r="A6" t="s">
        <v>84</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Influence Matrix</vt:lpstr>
      <vt:lpstr>Sources</vt:lpstr>
      <vt:lpstr>Sliders</vt:lpstr>
      <vt:lpstr>Indicators</vt:lpstr>
      <vt:lpstr>Enums</vt:lpstr>
      <vt:lpstr>'Influence Matrix'!Print_Titles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Levy</dc:creator>
  <cp:lastModifiedBy>Evan Levy</cp:lastModifiedBy>
  <cp:lastPrinted>2026-01-04T00:19:10Z</cp:lastPrinted>
  <dcterms:created xsi:type="dcterms:W3CDTF">2025-08-15T22:20:04Z</dcterms:created>
  <dcterms:modified xsi:type="dcterms:W3CDTF">2026-01-04T22:02:45Z</dcterms:modified>
</cp:coreProperties>
</file>