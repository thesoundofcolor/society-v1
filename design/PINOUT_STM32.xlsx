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6cb379e3a3ab8/Documents/Projects/Society_v1/design/"/>
    </mc:Choice>
  </mc:AlternateContent>
  <xr:revisionPtr revIDLastSave="123" documentId="8_{2D69C361-96F9-440C-81E4-FCEE4764BAEE}" xr6:coauthVersionLast="47" xr6:coauthVersionMax="47" xr10:uidLastSave="{C69AED7E-D364-4905-A5EA-459E7F0B23B2}"/>
  <bookViews>
    <workbookView xWindow="28680" yWindow="1755" windowWidth="20640" windowHeight="11040" xr2:uid="{CD38DF22-F41A-4FF5-9B41-74C32AB1E5AF}"/>
  </bookViews>
  <sheets>
    <sheet name="STM32H743XIH6" sheetId="1" r:id="rId1"/>
    <sheet name="TB6612FNG" sheetId="2" r:id="rId2"/>
    <sheet name="PCA9548a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1" i="2" l="1"/>
  <c r="B36" i="2"/>
  <c r="B19" i="2"/>
  <c r="B21" i="2"/>
  <c r="B26" i="2"/>
  <c r="B34" i="2"/>
  <c r="B9" i="2"/>
  <c r="B4" i="2"/>
</calcChain>
</file>

<file path=xl/sharedStrings.xml><?xml version="1.0" encoding="utf-8"?>
<sst xmlns="http://schemas.openxmlformats.org/spreadsheetml/2006/main" count="183" uniqueCount="121">
  <si>
    <t>Driver 1</t>
  </si>
  <si>
    <t>VM</t>
  </si>
  <si>
    <t>5V</t>
  </si>
  <si>
    <t>VCC</t>
  </si>
  <si>
    <t>3.3V</t>
  </si>
  <si>
    <t>GND</t>
  </si>
  <si>
    <t>A01</t>
  </si>
  <si>
    <t>Slider 5 +</t>
  </si>
  <si>
    <t>A02</t>
  </si>
  <si>
    <t>Slider 5 -</t>
  </si>
  <si>
    <t>B02</t>
  </si>
  <si>
    <t>Slider 4 -</t>
  </si>
  <si>
    <t>B01</t>
  </si>
  <si>
    <t>Slider 4 +</t>
  </si>
  <si>
    <t>PWMA</t>
  </si>
  <si>
    <t>AI2</t>
  </si>
  <si>
    <t>AI1</t>
  </si>
  <si>
    <t>STBY</t>
  </si>
  <si>
    <t>BI1</t>
  </si>
  <si>
    <t>BI2</t>
  </si>
  <si>
    <t>PWMB</t>
  </si>
  <si>
    <t>Driver 2</t>
  </si>
  <si>
    <t>3V3</t>
  </si>
  <si>
    <t>Slider 3 +</t>
  </si>
  <si>
    <t>Slider 3 -</t>
  </si>
  <si>
    <t>Slider 2 -</t>
  </si>
  <si>
    <t>Slider 2 +</t>
  </si>
  <si>
    <t>Driver 3</t>
  </si>
  <si>
    <t>x</t>
  </si>
  <si>
    <t>Slider 1+</t>
  </si>
  <si>
    <t>Slider 1 -</t>
  </si>
  <si>
    <t>VIN</t>
  </si>
  <si>
    <t>SC7</t>
  </si>
  <si>
    <t>X</t>
  </si>
  <si>
    <t>SD7</t>
  </si>
  <si>
    <t>SDA</t>
  </si>
  <si>
    <t>SC6</t>
  </si>
  <si>
    <t>SCL</t>
  </si>
  <si>
    <t>SD6</t>
  </si>
  <si>
    <t>3v3</t>
  </si>
  <si>
    <t>RST</t>
  </si>
  <si>
    <t>SC5</t>
  </si>
  <si>
    <t>A0</t>
  </si>
  <si>
    <t>SD5</t>
  </si>
  <si>
    <t>A1</t>
  </si>
  <si>
    <t>SC4</t>
  </si>
  <si>
    <t>OLED5</t>
  </si>
  <si>
    <t>A2</t>
  </si>
  <si>
    <t>SD4</t>
  </si>
  <si>
    <t>OLED1</t>
  </si>
  <si>
    <t>SD0</t>
  </si>
  <si>
    <t>SC3</t>
  </si>
  <si>
    <t>OLED4</t>
  </si>
  <si>
    <t>SC0</t>
  </si>
  <si>
    <t>SD3</t>
  </si>
  <si>
    <t>OLED2</t>
  </si>
  <si>
    <t>SD1</t>
  </si>
  <si>
    <t>SC2</t>
  </si>
  <si>
    <t>OLED3</t>
  </si>
  <si>
    <t>SC1</t>
  </si>
  <si>
    <t>SD2</t>
  </si>
  <si>
    <r>
      <t xml:space="preserve">Connect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3.3V through a </t>
    </r>
    <r>
      <rPr>
        <b/>
        <sz val="9"/>
        <color theme="1"/>
        <rFont val="Aptos Narrow"/>
        <family val="2"/>
        <scheme val="minor"/>
      </rPr>
      <t>10k pull-up resistor</t>
    </r>
    <r>
      <rPr>
        <sz val="9"/>
        <color theme="1"/>
        <rFont val="Aptos Narrow"/>
        <family val="2"/>
        <scheme val="minor"/>
      </rPr>
      <t xml:space="preserve"> and a small </t>
    </r>
    <r>
      <rPr>
        <b/>
        <sz val="9"/>
        <color theme="1"/>
        <rFont val="Aptos Narrow"/>
        <family val="2"/>
        <scheme val="minor"/>
      </rPr>
      <t>capacitor (e.g., 0.1 µF)</t>
    </r>
    <r>
      <rPr>
        <sz val="9"/>
        <color theme="1"/>
        <rFont val="Aptos Narrow"/>
        <family val="2"/>
        <scheme val="minor"/>
      </rPr>
      <t xml:space="preserve"> from </t>
    </r>
    <r>
      <rPr>
        <sz val="9"/>
        <color theme="1"/>
        <rFont val="Arial Unicode MS"/>
      </rPr>
      <t>RESET</t>
    </r>
    <r>
      <rPr>
        <sz val="9"/>
        <color theme="1"/>
        <rFont val="Aptos Narrow"/>
        <family val="2"/>
        <scheme val="minor"/>
      </rPr>
      <t xml:space="preserve"> to GND.</t>
    </r>
  </si>
  <si>
    <t>TB6612FNG</t>
  </si>
  <si>
    <t>PCA9548a</t>
  </si>
  <si>
    <t>STM32 Pin</t>
  </si>
  <si>
    <t>Note</t>
  </si>
  <si>
    <t>To</t>
  </si>
  <si>
    <t>PWMA_D1</t>
  </si>
  <si>
    <t>AI2_D1</t>
  </si>
  <si>
    <t>AI1_D1</t>
  </si>
  <si>
    <t>STBY_D1</t>
  </si>
  <si>
    <t>BI1_D1</t>
  </si>
  <si>
    <t>BI2_D1</t>
  </si>
  <si>
    <t>PWMB_D1</t>
  </si>
  <si>
    <t>PWMA_D2</t>
  </si>
  <si>
    <t>AI2_D2</t>
  </si>
  <si>
    <t>AI1_D2</t>
  </si>
  <si>
    <t>STBY_D2</t>
  </si>
  <si>
    <t>BI1_D2</t>
  </si>
  <si>
    <t>BI2_D2</t>
  </si>
  <si>
    <t>PWMB_D2</t>
  </si>
  <si>
    <t>PWMA_D3</t>
  </si>
  <si>
    <t>AI2_D3</t>
  </si>
  <si>
    <t>STBY_D3</t>
  </si>
  <si>
    <t>AI1_D3</t>
  </si>
  <si>
    <t>PA8</t>
  </si>
  <si>
    <t>PA11</t>
  </si>
  <si>
    <t>PA1</t>
  </si>
  <si>
    <t>PA2</t>
  </si>
  <si>
    <t>PB6</t>
  </si>
  <si>
    <t>PB7</t>
  </si>
  <si>
    <t>PA0</t>
  </si>
  <si>
    <t>Button Ladder</t>
  </si>
  <si>
    <t>PA3</t>
  </si>
  <si>
    <t>PA6</t>
  </si>
  <si>
    <t>PB1</t>
  </si>
  <si>
    <t>PC4</t>
  </si>
  <si>
    <t>SLIDER_1</t>
  </si>
  <si>
    <t>SLIDER_3</t>
  </si>
  <si>
    <t>SLIDER_4</t>
  </si>
  <si>
    <t>SLIDER_5</t>
  </si>
  <si>
    <t>SLIDER_2</t>
  </si>
  <si>
    <t>PB0</t>
  </si>
  <si>
    <t>PC5</t>
  </si>
  <si>
    <t>PA4</t>
  </si>
  <si>
    <t>PA5</t>
  </si>
  <si>
    <t>PB2</t>
  </si>
  <si>
    <t>PA7</t>
  </si>
  <si>
    <t>PE4</t>
  </si>
  <si>
    <t>PE5</t>
  </si>
  <si>
    <t>PB11</t>
  </si>
  <si>
    <t>ADC1_INP16</t>
  </si>
  <si>
    <t>ADC1_INP15</t>
  </si>
  <si>
    <t>ADC1_INP3</t>
  </si>
  <si>
    <t>ADC1_INP5</t>
  </si>
  <si>
    <t>ADC1_INP4</t>
  </si>
  <si>
    <t>PC1</t>
  </si>
  <si>
    <t>PC2</t>
  </si>
  <si>
    <t>ADC1_INP12</t>
  </si>
  <si>
    <t>PE3</t>
  </si>
  <si>
    <t>PB9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</si>
</sst>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 Unicode MS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3" borderId="2" xfId="0" applyFill="1" applyBorder="1"/>
    <xf numFmtId="0" fontId="0" fillId="3" borderId="0" xfId="0" applyFill="1"/>
    <xf numFmtId="0" fontId="0" fillId="3" borderId="3" xfId="0" applyFill="1" applyBorder="1"/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3">
    <dxf>
      <fill>
        <patternFill patternType="solid">
          <fgColor rgb="FFFFE999"/>
          <bgColor rgb="FFFFE985"/>
        </patternFill>
      </fill>
    </dxf>
    <dxf>
      <fill>
        <patternFill>
          <bgColor rgb="FFFFE999"/>
        </patternFill>
      </fill>
    </dxf>
    <dxf>
      <fill>
        <patternFill>
          <bgColor rgb="FFFFEC99"/>
        </patternFill>
      </fill>
    </dxf>
  </dxfs>
  <tableStyles count="0" defaultTableStyle="TableStyleMedium2" defaultPivotStyle="PivotStyleLight16"/>
  <colors>
    <mruColors>
      <color rgb="FFFFE985"/>
      <color rgb="FFFFE999"/>
      <color rgb="FFFFE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213247</xdr:colOff>
      <xdr:row>23</xdr:row>
      <xdr:rowOff>82826</xdr:rowOff>
    </xdr:from>
    <xdr:to>
      <xdr:col>5</xdr:col>
      <xdr:colOff>383365</xdr:colOff>
      <xdr:row>47</xdr:row>
      <xdr:rowOff>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35B6A-03BB-4B72-8441-DEF26922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7247" y="2749826"/>
          <a:ext cx="2157944" cy="2700212"/>
        </a:xfrm>
        <a:prstGeom prst="rect">
          <a:avLst/>
        </a:prstGeom>
      </xdr:spPr>
    </xdr:pic>
    <xdr:clientData/>
  </xdr:twoCellAnchor>
  <xdr:twoCellAnchor editAs="oneCell">
    <xdr:from>
      <xdr:col>2</xdr:col>
      <xdr:colOff>251437</xdr:colOff>
      <xdr:row>0</xdr:row>
      <xdr:rowOff>0</xdr:rowOff>
    </xdr:from>
    <xdr:to>
      <xdr:col>5</xdr:col>
      <xdr:colOff>402547</xdr:colOff>
      <xdr:row>23</xdr:row>
      <xdr:rowOff>41413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74B482-553F-0FE7-5ABC-70F6B69B1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5437" y="0"/>
          <a:ext cx="2138936" cy="27084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295088</xdr:colOff>
      <xdr:row>14</xdr:row>
      <xdr:rowOff>81430</xdr:rowOff>
    </xdr:from>
    <xdr:to>
      <xdr:col>4</xdr:col>
      <xdr:colOff>8493</xdr:colOff>
      <xdr:row>29</xdr:row>
      <xdr:rowOff>10646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B86E8-09C4-4C1F-B1E4-5A41C16C5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88" y="2767480"/>
          <a:ext cx="2037505" cy="27867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96cb379e3a3ab8/Documents/Projects/Society_v1/design/PINOUT_esp32.xlsx" TargetMode="External"/><Relationship Id="rId1" Type="http://schemas.openxmlformats.org/officeDocument/2006/relationships/externalLinkPath" Target="PINOUT_esp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p32 (v2)"/>
      <sheetName val="TB6612FNG"/>
      <sheetName val="pca9548a"/>
    </sheetNames>
    <sheetDataSet>
      <sheetData sheetId="0">
        <row r="12">
          <cell r="A12" t="str">
            <v>GND</v>
          </cell>
        </row>
        <row r="13">
          <cell r="A13" t="str">
            <v>GND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2074-276B-4B71-8582-2138DE8711E5}">
  <dimension ref="A1:K35"/>
  <sheetViews>
    <sheetView tabSelected="1" zoomScale="70" zoomScaleNormal="70" workbookViewId="0">
      <selection sqref="A1:C29"/>
    </sheetView>
  </sheetViews>
  <sheetFormatPr defaultRowHeight="15"/>
  <cols>
    <col min="1" max="1" width="10" style="13" bestFit="1" customWidth="1"/>
    <col min="2" max="2" width="11.5703125" style="13" bestFit="1" customWidth="1"/>
    <col min="3" max="3" width="13.28515625" style="13" bestFit="1" customWidth="1"/>
    <col min="7" max="7" width="10.85546875" bestFit="1" customWidth="1"/>
    <col min="8" max="8" width="10.85546875" customWidth="1"/>
    <col min="10" max="10" width="14" bestFit="1" customWidth="1"/>
  </cols>
  <sheetData>
    <row r="1" spans="1:11" s="11" customFormat="1">
      <c r="A1" s="14" t="s">
        <v>64</v>
      </c>
      <c r="B1" s="14" t="s">
        <v>65</v>
      </c>
      <c r="C1" s="14" t="s">
        <v>66</v>
      </c>
      <c r="G1" s="20"/>
      <c r="H1" s="21"/>
      <c r="I1" s="20"/>
      <c r="J1" s="20"/>
      <c r="K1" s="21"/>
    </row>
    <row r="2" spans="1:11">
      <c r="A2" s="10" t="s">
        <v>117</v>
      </c>
      <c r="B2" s="10" t="s">
        <v>118</v>
      </c>
      <c r="C2" s="10" t="s">
        <v>92</v>
      </c>
      <c r="G2" s="22"/>
      <c r="H2" s="22"/>
      <c r="I2" s="22"/>
      <c r="J2" s="22"/>
      <c r="K2" s="22"/>
    </row>
    <row r="3" spans="1:11">
      <c r="A3" s="10" t="s">
        <v>91</v>
      </c>
      <c r="B3" s="10" t="s">
        <v>111</v>
      </c>
      <c r="C3" s="10" t="s">
        <v>97</v>
      </c>
      <c r="G3" s="22"/>
      <c r="H3" s="22"/>
      <c r="I3" s="22"/>
      <c r="J3" s="22"/>
      <c r="K3" s="22"/>
    </row>
    <row r="4" spans="1:11">
      <c r="A4" s="10" t="s">
        <v>93</v>
      </c>
      <c r="B4" s="10" t="s">
        <v>112</v>
      </c>
      <c r="C4" s="10" t="s">
        <v>100</v>
      </c>
      <c r="G4" s="22"/>
      <c r="H4" s="22"/>
      <c r="I4" s="22"/>
      <c r="J4" s="22"/>
      <c r="K4" s="22"/>
    </row>
    <row r="5" spans="1:11">
      <c r="A5" s="10" t="s">
        <v>94</v>
      </c>
      <c r="B5" s="10" t="s">
        <v>113</v>
      </c>
      <c r="C5" s="10" t="s">
        <v>101</v>
      </c>
      <c r="G5" s="22"/>
      <c r="H5" s="22"/>
      <c r="I5" s="22"/>
      <c r="J5" s="22"/>
      <c r="K5" s="22"/>
    </row>
    <row r="6" spans="1:11">
      <c r="A6" s="10" t="s">
        <v>95</v>
      </c>
      <c r="B6" s="10" t="s">
        <v>114</v>
      </c>
      <c r="C6" s="10" t="s">
        <v>99</v>
      </c>
      <c r="G6" s="22"/>
      <c r="H6" s="22"/>
      <c r="I6" s="22"/>
      <c r="J6" s="22"/>
      <c r="K6" s="22"/>
    </row>
    <row r="7" spans="1:11">
      <c r="A7" s="10" t="s">
        <v>96</v>
      </c>
      <c r="B7" s="10" t="s">
        <v>115</v>
      </c>
      <c r="C7" s="10" t="s">
        <v>98</v>
      </c>
      <c r="G7" s="22"/>
      <c r="H7" s="22"/>
      <c r="I7" s="22"/>
      <c r="J7" s="22"/>
      <c r="K7" s="22"/>
    </row>
    <row r="8" spans="1:11">
      <c r="A8" s="17" t="s">
        <v>62</v>
      </c>
      <c r="B8" s="18"/>
      <c r="C8" s="19"/>
    </row>
    <row r="9" spans="1:11">
      <c r="A9" s="12" t="s">
        <v>85</v>
      </c>
      <c r="B9" s="10"/>
      <c r="C9" s="3" t="s">
        <v>67</v>
      </c>
    </row>
    <row r="10" spans="1:11">
      <c r="A10" s="3" t="s">
        <v>103</v>
      </c>
      <c r="B10" s="10"/>
      <c r="C10" s="3" t="s">
        <v>68</v>
      </c>
    </row>
    <row r="11" spans="1:11">
      <c r="A11" s="3" t="s">
        <v>102</v>
      </c>
      <c r="B11" s="10"/>
      <c r="C11" s="3" t="s">
        <v>69</v>
      </c>
    </row>
    <row r="12" spans="1:11">
      <c r="A12" s="16" t="s">
        <v>109</v>
      </c>
      <c r="B12" s="10"/>
      <c r="C12" s="3" t="s">
        <v>70</v>
      </c>
    </row>
    <row r="13" spans="1:11">
      <c r="A13" s="3" t="s">
        <v>105</v>
      </c>
      <c r="B13" s="10"/>
      <c r="C13" s="3" t="s">
        <v>71</v>
      </c>
    </row>
    <row r="14" spans="1:11">
      <c r="A14" s="3" t="s">
        <v>104</v>
      </c>
      <c r="B14" s="10"/>
      <c r="C14" s="3" t="s">
        <v>72</v>
      </c>
    </row>
    <row r="15" spans="1:11">
      <c r="A15" s="3" t="s">
        <v>86</v>
      </c>
      <c r="B15" s="10"/>
      <c r="C15" s="3" t="s">
        <v>73</v>
      </c>
    </row>
    <row r="16" spans="1:11">
      <c r="A16" s="3" t="s">
        <v>110</v>
      </c>
      <c r="B16" s="10"/>
      <c r="C16" s="3" t="s">
        <v>74</v>
      </c>
    </row>
    <row r="17" spans="1:8">
      <c r="A17" s="3" t="s">
        <v>107</v>
      </c>
      <c r="B17" s="10"/>
      <c r="C17" s="3" t="s">
        <v>75</v>
      </c>
    </row>
    <row r="18" spans="1:8">
      <c r="A18" s="3" t="s">
        <v>106</v>
      </c>
      <c r="B18" s="10"/>
      <c r="C18" s="3" t="s">
        <v>76</v>
      </c>
    </row>
    <row r="19" spans="1:8">
      <c r="A19" s="16" t="s">
        <v>109</v>
      </c>
      <c r="B19" s="10"/>
      <c r="C19" s="3" t="s">
        <v>77</v>
      </c>
    </row>
    <row r="20" spans="1:8">
      <c r="A20" s="3" t="s">
        <v>119</v>
      </c>
      <c r="B20" s="10"/>
      <c r="C20" s="3" t="s">
        <v>78</v>
      </c>
    </row>
    <row r="21" spans="1:8">
      <c r="A21" s="3" t="s">
        <v>120</v>
      </c>
      <c r="B21" s="10"/>
      <c r="C21" s="3" t="s">
        <v>79</v>
      </c>
      <c r="G21" s="15"/>
      <c r="H21" s="15"/>
    </row>
    <row r="22" spans="1:8">
      <c r="A22" s="3" t="s">
        <v>87</v>
      </c>
      <c r="B22" s="10"/>
      <c r="C22" s="3" t="s">
        <v>80</v>
      </c>
    </row>
    <row r="23" spans="1:8">
      <c r="A23" s="3" t="s">
        <v>88</v>
      </c>
      <c r="B23" s="10"/>
      <c r="C23" s="3" t="s">
        <v>81</v>
      </c>
    </row>
    <row r="24" spans="1:8">
      <c r="A24" s="3" t="s">
        <v>108</v>
      </c>
      <c r="B24" s="10"/>
      <c r="C24" s="3" t="s">
        <v>82</v>
      </c>
    </row>
    <row r="25" spans="1:8">
      <c r="A25" s="3" t="s">
        <v>116</v>
      </c>
      <c r="B25" s="10"/>
      <c r="C25" s="3" t="s">
        <v>84</v>
      </c>
    </row>
    <row r="26" spans="1:8">
      <c r="A26" s="16" t="s">
        <v>109</v>
      </c>
      <c r="B26" s="10"/>
      <c r="C26" s="3" t="s">
        <v>83</v>
      </c>
    </row>
    <row r="27" spans="1:8">
      <c r="A27" s="17" t="s">
        <v>63</v>
      </c>
      <c r="B27" s="18"/>
      <c r="C27" s="19"/>
    </row>
    <row r="28" spans="1:8">
      <c r="A28" s="10" t="s">
        <v>90</v>
      </c>
      <c r="B28" s="10"/>
      <c r="C28" s="10" t="s">
        <v>35</v>
      </c>
    </row>
    <row r="29" spans="1:8">
      <c r="A29" s="10" t="s">
        <v>89</v>
      </c>
      <c r="B29" s="10"/>
      <c r="C29" s="10" t="s">
        <v>37</v>
      </c>
    </row>
    <row r="30" spans="1:8">
      <c r="A30" s="10"/>
      <c r="B30" s="10"/>
      <c r="C30" s="10"/>
    </row>
    <row r="31" spans="1:8">
      <c r="A31" s="10"/>
      <c r="B31" s="10"/>
      <c r="C31" s="10"/>
    </row>
    <row r="32" spans="1:8">
      <c r="A32" s="10"/>
      <c r="B32" s="10"/>
      <c r="C32" s="10"/>
    </row>
    <row r="33" spans="1:3">
      <c r="A33" s="10"/>
      <c r="B33" s="10"/>
      <c r="C33" s="10"/>
    </row>
    <row r="34" spans="1:3">
      <c r="A34" s="10"/>
      <c r="B34" s="10"/>
      <c r="C34" s="10"/>
    </row>
    <row r="35" spans="1:3">
      <c r="A35" s="10"/>
      <c r="B35" s="10"/>
      <c r="C35" s="10"/>
    </row>
  </sheetData>
  <mergeCells count="2">
    <mergeCell ref="A8:C8"/>
    <mergeCell ref="A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1132-D630-481B-9142-21D405E9C020}">
  <dimension ref="A1:K51"/>
  <sheetViews>
    <sheetView topLeftCell="A7" zoomScale="115" zoomScaleNormal="115" workbookViewId="0">
      <selection activeCell="A44" sqref="A44:A47"/>
    </sheetView>
  </sheetViews>
  <sheetFormatPr defaultColWidth="8.7109375" defaultRowHeight="9" customHeight="1"/>
  <cols>
    <col min="1" max="1" width="10.85546875" style="2" customWidth="1"/>
    <col min="2" max="2" width="12" style="2" bestFit="1" customWidth="1"/>
    <col min="3" max="4" width="8.7109375" style="2"/>
    <col min="5" max="5" width="12.42578125" style="2" bestFit="1" customWidth="1"/>
    <col min="6" max="9" width="8.7109375" style="2"/>
    <col min="10" max="10" width="11.28515625" style="2" customWidth="1"/>
    <col min="11" max="11" width="2.85546875" style="2" customWidth="1"/>
    <col min="12" max="12" width="25.42578125" style="2" bestFit="1" customWidth="1"/>
    <col min="13" max="16384" width="8.7109375" style="2"/>
  </cols>
  <sheetData>
    <row r="1" spans="1:2" ht="9" customHeight="1">
      <c r="A1" s="1" t="s">
        <v>0</v>
      </c>
      <c r="B1" s="1"/>
    </row>
    <row r="2" spans="1:2" ht="9" customHeight="1">
      <c r="A2" s="3" t="s">
        <v>1</v>
      </c>
      <c r="B2" s="3" t="s">
        <v>2</v>
      </c>
    </row>
    <row r="3" spans="1:2" ht="9" customHeight="1">
      <c r="A3" s="3" t="s">
        <v>3</v>
      </c>
      <c r="B3" s="3" t="s">
        <v>4</v>
      </c>
    </row>
    <row r="4" spans="1:2" ht="9" customHeight="1">
      <c r="A4" s="3" t="s">
        <v>5</v>
      </c>
      <c r="B4" s="3" t="str">
        <f>'[1]esp32 (v2)'!A12</f>
        <v>GND</v>
      </c>
    </row>
    <row r="5" spans="1:2" ht="9" customHeight="1">
      <c r="A5" s="3" t="s">
        <v>6</v>
      </c>
      <c r="B5" s="3" t="s">
        <v>7</v>
      </c>
    </row>
    <row r="6" spans="1:2" ht="9" customHeight="1">
      <c r="A6" s="3" t="s">
        <v>8</v>
      </c>
      <c r="B6" s="3" t="s">
        <v>9</v>
      </c>
    </row>
    <row r="7" spans="1:2" ht="9" customHeight="1">
      <c r="A7" s="3" t="s">
        <v>10</v>
      </c>
      <c r="B7" s="3" t="s">
        <v>11</v>
      </c>
    </row>
    <row r="8" spans="1:2" ht="9" customHeight="1">
      <c r="A8" s="3" t="s">
        <v>12</v>
      </c>
      <c r="B8" s="3" t="s">
        <v>13</v>
      </c>
    </row>
    <row r="9" spans="1:2" ht="9" customHeight="1">
      <c r="A9" s="3" t="s">
        <v>5</v>
      </c>
      <c r="B9" s="3" t="str">
        <f>'[1]esp32 (v2)'!A13</f>
        <v>GND</v>
      </c>
    </row>
    <row r="10" spans="1:2" ht="9" customHeight="1">
      <c r="A10" s="3" t="s">
        <v>14</v>
      </c>
      <c r="B10" s="3"/>
    </row>
    <row r="11" spans="1:2" ht="9" customHeight="1">
      <c r="A11" s="3" t="s">
        <v>15</v>
      </c>
      <c r="B11" s="3"/>
    </row>
    <row r="12" spans="1:2" ht="9" customHeight="1">
      <c r="A12" s="3" t="s">
        <v>16</v>
      </c>
      <c r="B12" s="3"/>
    </row>
    <row r="13" spans="1:2" ht="9" customHeight="1">
      <c r="A13" s="3" t="s">
        <v>17</v>
      </c>
      <c r="B13" s="3"/>
    </row>
    <row r="14" spans="1:2" ht="9" customHeight="1">
      <c r="A14" s="3" t="s">
        <v>18</v>
      </c>
      <c r="B14" s="3"/>
    </row>
    <row r="15" spans="1:2" ht="9" customHeight="1">
      <c r="A15" s="3" t="s">
        <v>19</v>
      </c>
      <c r="B15" s="3"/>
    </row>
    <row r="16" spans="1:2" ht="9" customHeight="1">
      <c r="A16" s="3" t="s">
        <v>20</v>
      </c>
      <c r="B16" s="3"/>
    </row>
    <row r="17" spans="1:11" ht="9" customHeight="1">
      <c r="A17" s="3" t="s">
        <v>5</v>
      </c>
      <c r="B17" s="3" t="s">
        <v>5</v>
      </c>
    </row>
    <row r="18" spans="1:11" ht="9" customHeight="1">
      <c r="A18" s="1" t="s">
        <v>21</v>
      </c>
      <c r="B18" s="1"/>
    </row>
    <row r="19" spans="1:11" ht="9" customHeight="1">
      <c r="A19" s="3" t="s">
        <v>1</v>
      </c>
      <c r="B19" s="3" t="str">
        <f>B2</f>
        <v>5V</v>
      </c>
    </row>
    <row r="20" spans="1:11" ht="9" customHeight="1">
      <c r="A20" s="3" t="s">
        <v>3</v>
      </c>
      <c r="B20" s="3" t="s">
        <v>22</v>
      </c>
    </row>
    <row r="21" spans="1:11" ht="9" customHeight="1">
      <c r="A21" s="3" t="s">
        <v>5</v>
      </c>
      <c r="B21" s="3" t="str">
        <f>'[1]esp32 (v2)'!A13</f>
        <v>GND</v>
      </c>
    </row>
    <row r="22" spans="1:11" ht="9" customHeight="1">
      <c r="A22" s="3" t="s">
        <v>6</v>
      </c>
      <c r="B22" s="3" t="s">
        <v>23</v>
      </c>
    </row>
    <row r="23" spans="1:11" ht="9" customHeight="1">
      <c r="A23" s="3" t="s">
        <v>8</v>
      </c>
      <c r="B23" s="3" t="s">
        <v>24</v>
      </c>
    </row>
    <row r="24" spans="1:11" ht="9" customHeight="1">
      <c r="A24" s="3" t="s">
        <v>10</v>
      </c>
      <c r="B24" s="3" t="s">
        <v>25</v>
      </c>
    </row>
    <row r="25" spans="1:11" ht="9" customHeight="1">
      <c r="A25" s="3" t="s">
        <v>12</v>
      </c>
      <c r="B25" s="3" t="s">
        <v>26</v>
      </c>
    </row>
    <row r="26" spans="1:11" ht="9" customHeight="1">
      <c r="A26" s="3" t="s">
        <v>5</v>
      </c>
      <c r="B26" s="3" t="str">
        <f>'[1]esp32 (v2)'!A13</f>
        <v>GND</v>
      </c>
    </row>
    <row r="27" spans="1:11" ht="9" customHeight="1">
      <c r="A27" s="3" t="s">
        <v>14</v>
      </c>
      <c r="B27" s="3"/>
    </row>
    <row r="28" spans="1:11" ht="9" customHeight="1">
      <c r="A28" s="3" t="s">
        <v>15</v>
      </c>
      <c r="B28" s="3"/>
      <c r="I28" s="9"/>
      <c r="J28" s="9"/>
      <c r="K28" s="9"/>
    </row>
    <row r="29" spans="1:11" ht="9" customHeight="1">
      <c r="A29" s="3" t="s">
        <v>16</v>
      </c>
      <c r="B29" s="3"/>
      <c r="I29" s="9"/>
      <c r="J29" s="9"/>
      <c r="K29" s="9"/>
    </row>
    <row r="30" spans="1:11" ht="9" customHeight="1">
      <c r="A30" s="3" t="s">
        <v>17</v>
      </c>
      <c r="B30" s="3"/>
      <c r="I30" s="9"/>
      <c r="J30" s="9"/>
      <c r="K30" s="9"/>
    </row>
    <row r="31" spans="1:11" ht="9" customHeight="1">
      <c r="A31" s="3" t="s">
        <v>18</v>
      </c>
      <c r="B31" s="3"/>
      <c r="I31" s="9"/>
      <c r="J31" s="9"/>
      <c r="K31" s="9"/>
    </row>
    <row r="32" spans="1:11" ht="9" customHeight="1">
      <c r="A32" s="3" t="s">
        <v>19</v>
      </c>
      <c r="B32" s="3"/>
      <c r="I32" s="9"/>
      <c r="J32" s="9"/>
      <c r="K32" s="9"/>
    </row>
    <row r="33" spans="1:11" ht="9" customHeight="1">
      <c r="A33" s="3" t="s">
        <v>20</v>
      </c>
      <c r="B33" s="3"/>
      <c r="I33" s="9"/>
      <c r="J33" s="9"/>
      <c r="K33" s="9"/>
    </row>
    <row r="34" spans="1:11" ht="9" customHeight="1">
      <c r="A34" s="3" t="s">
        <v>5</v>
      </c>
      <c r="B34" s="3" t="str">
        <f>'[1]esp32 (v2)'!A13</f>
        <v>GND</v>
      </c>
      <c r="I34" s="9"/>
      <c r="J34" s="9"/>
      <c r="K34" s="9"/>
    </row>
    <row r="35" spans="1:11" ht="9" customHeight="1">
      <c r="A35" s="1" t="s">
        <v>27</v>
      </c>
      <c r="B35" s="1"/>
      <c r="I35" s="9"/>
      <c r="J35" s="9"/>
      <c r="K35" s="9"/>
    </row>
    <row r="36" spans="1:11" ht="9" customHeight="1">
      <c r="A36" s="3" t="s">
        <v>1</v>
      </c>
      <c r="B36" s="3" t="str">
        <f>B19</f>
        <v>5V</v>
      </c>
      <c r="I36" s="9"/>
      <c r="J36" s="9"/>
      <c r="K36" s="9"/>
    </row>
    <row r="37" spans="1:11" ht="9" customHeight="1">
      <c r="A37" s="3" t="s">
        <v>3</v>
      </c>
      <c r="B37" s="3" t="s">
        <v>22</v>
      </c>
      <c r="I37" s="9"/>
      <c r="J37" s="9"/>
      <c r="K37" s="9"/>
    </row>
    <row r="38" spans="1:11" ht="9" customHeight="1">
      <c r="A38" s="3" t="s">
        <v>5</v>
      </c>
      <c r="B38" s="3" t="s">
        <v>5</v>
      </c>
      <c r="I38" s="9"/>
      <c r="J38" s="9"/>
      <c r="K38" s="9"/>
    </row>
    <row r="39" spans="1:11" ht="9" customHeight="1">
      <c r="A39" s="3" t="s">
        <v>6</v>
      </c>
      <c r="B39" s="3" t="s">
        <v>29</v>
      </c>
      <c r="I39" s="9"/>
      <c r="J39" s="9"/>
      <c r="K39" s="9"/>
    </row>
    <row r="40" spans="1:11" ht="9" customHeight="1">
      <c r="A40" s="3" t="s">
        <v>8</v>
      </c>
      <c r="B40" s="3" t="s">
        <v>30</v>
      </c>
      <c r="I40" s="9"/>
      <c r="J40" s="9"/>
      <c r="K40" s="9"/>
    </row>
    <row r="41" spans="1:11" ht="9" customHeight="1">
      <c r="A41" s="3" t="s">
        <v>10</v>
      </c>
      <c r="B41" s="3" t="s">
        <v>28</v>
      </c>
      <c r="I41" s="9"/>
      <c r="J41" s="9"/>
      <c r="K41" s="9"/>
    </row>
    <row r="42" spans="1:11" ht="9" customHeight="1">
      <c r="A42" s="3" t="s">
        <v>12</v>
      </c>
      <c r="B42" s="3" t="s">
        <v>28</v>
      </c>
      <c r="I42" s="9"/>
      <c r="J42" s="9"/>
      <c r="K42" s="9"/>
    </row>
    <row r="43" spans="1:11" ht="9" customHeight="1">
      <c r="A43" s="3" t="s">
        <v>5</v>
      </c>
      <c r="B43" s="3" t="s">
        <v>5</v>
      </c>
      <c r="F43" s="9"/>
      <c r="I43" s="9"/>
      <c r="J43" s="9"/>
      <c r="K43" s="9"/>
    </row>
    <row r="44" spans="1:11" ht="9" customHeight="1">
      <c r="A44" s="3" t="s">
        <v>14</v>
      </c>
      <c r="B44" s="3"/>
      <c r="I44" s="9"/>
      <c r="J44" s="9"/>
      <c r="K44" s="9"/>
    </row>
    <row r="45" spans="1:11" ht="9" customHeight="1">
      <c r="A45" s="3" t="s">
        <v>15</v>
      </c>
      <c r="B45" s="3"/>
      <c r="I45" s="9"/>
      <c r="J45" s="9"/>
      <c r="K45" s="9"/>
    </row>
    <row r="46" spans="1:11" ht="9" customHeight="1">
      <c r="A46" s="3" t="s">
        <v>16</v>
      </c>
      <c r="B46" s="3"/>
      <c r="I46" s="9"/>
      <c r="J46" s="9"/>
      <c r="K46" s="9"/>
    </row>
    <row r="47" spans="1:11" ht="9" customHeight="1">
      <c r="A47" s="3" t="s">
        <v>17</v>
      </c>
      <c r="B47" s="3"/>
      <c r="I47" s="9"/>
      <c r="J47" s="9"/>
      <c r="K47" s="9"/>
    </row>
    <row r="48" spans="1:11" ht="9" customHeight="1">
      <c r="A48" s="3" t="s">
        <v>18</v>
      </c>
      <c r="B48" s="3" t="s">
        <v>28</v>
      </c>
      <c r="I48" s="9"/>
      <c r="J48" s="9"/>
      <c r="K48" s="9"/>
    </row>
    <row r="49" spans="1:2" ht="9" customHeight="1">
      <c r="A49" s="3" t="s">
        <v>19</v>
      </c>
      <c r="B49" s="3" t="s">
        <v>28</v>
      </c>
    </row>
    <row r="50" spans="1:2" ht="9" customHeight="1">
      <c r="A50" s="3" t="s">
        <v>20</v>
      </c>
      <c r="B50" s="3" t="s">
        <v>28</v>
      </c>
    </row>
    <row r="51" spans="1:2" ht="9" customHeight="1">
      <c r="A51" s="3" t="s">
        <v>5</v>
      </c>
      <c r="B51" s="3">
        <f>'[1]esp32 (v2)'!A43</f>
        <v>0</v>
      </c>
    </row>
  </sheetData>
  <mergeCells count="3">
    <mergeCell ref="A1:B1"/>
    <mergeCell ref="A18:B18"/>
    <mergeCell ref="A35:B35"/>
  </mergeCells>
  <conditionalFormatting sqref="B2:B17 B19:B34 B36:B51">
    <cfRule type="containsBlanks" dxfId="1" priority="1">
      <formula>LEN(TRIM(B2))=0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26E5-A44C-4DA1-A792-9AD3D110C679}">
  <dimension ref="A2:E31"/>
  <sheetViews>
    <sheetView workbookViewId="0">
      <selection activeCell="I17" sqref="I17"/>
    </sheetView>
  </sheetViews>
  <sheetFormatPr defaultRowHeight="15"/>
  <cols>
    <col min="1" max="1" width="7.42578125" bestFit="1" customWidth="1"/>
    <col min="5" max="5" width="6.42578125" bestFit="1" customWidth="1"/>
  </cols>
  <sheetData>
    <row r="2" spans="1:5" ht="15.75" thickBot="1"/>
    <row r="3" spans="1:5">
      <c r="A3" s="4" t="s">
        <v>4</v>
      </c>
      <c r="B3" s="5" t="s">
        <v>31</v>
      </c>
      <c r="C3" s="5"/>
      <c r="D3" s="5" t="s">
        <v>32</v>
      </c>
      <c r="E3" s="4" t="s">
        <v>33</v>
      </c>
    </row>
    <row r="4" spans="1:5">
      <c r="A4" s="4" t="s">
        <v>5</v>
      </c>
      <c r="B4" s="6" t="s">
        <v>5</v>
      </c>
      <c r="C4" s="6"/>
      <c r="D4" s="6" t="s">
        <v>34</v>
      </c>
      <c r="E4" s="4" t="s">
        <v>33</v>
      </c>
    </row>
    <row r="5" spans="1:5">
      <c r="A5" s="4"/>
      <c r="B5" s="6" t="s">
        <v>35</v>
      </c>
      <c r="C5" s="6"/>
      <c r="D5" s="6" t="s">
        <v>36</v>
      </c>
      <c r="E5" s="4" t="s">
        <v>33</v>
      </c>
    </row>
    <row r="6" spans="1:5">
      <c r="A6" s="4"/>
      <c r="B6" s="6" t="s">
        <v>37</v>
      </c>
      <c r="C6" s="6"/>
      <c r="D6" s="6" t="s">
        <v>38</v>
      </c>
      <c r="E6" s="4" t="s">
        <v>33</v>
      </c>
    </row>
    <row r="7" spans="1:5">
      <c r="A7" s="4" t="s">
        <v>39</v>
      </c>
      <c r="B7" s="6" t="s">
        <v>40</v>
      </c>
      <c r="C7" s="6"/>
      <c r="D7" s="6" t="s">
        <v>41</v>
      </c>
      <c r="E7" s="4" t="s">
        <v>33</v>
      </c>
    </row>
    <row r="8" spans="1:5">
      <c r="A8" s="4" t="s">
        <v>5</v>
      </c>
      <c r="B8" s="6" t="s">
        <v>42</v>
      </c>
      <c r="C8" s="6"/>
      <c r="D8" s="6" t="s">
        <v>43</v>
      </c>
      <c r="E8" s="4" t="s">
        <v>33</v>
      </c>
    </row>
    <row r="9" spans="1:5">
      <c r="A9" s="4" t="s">
        <v>5</v>
      </c>
      <c r="B9" s="6" t="s">
        <v>44</v>
      </c>
      <c r="C9" s="6"/>
      <c r="D9" s="6" t="s">
        <v>45</v>
      </c>
      <c r="E9" s="4" t="s">
        <v>46</v>
      </c>
    </row>
    <row r="10" spans="1:5">
      <c r="A10" s="4" t="s">
        <v>5</v>
      </c>
      <c r="B10" s="6" t="s">
        <v>47</v>
      </c>
      <c r="C10" s="6"/>
      <c r="D10" s="6" t="s">
        <v>48</v>
      </c>
      <c r="E10" s="4" t="s">
        <v>46</v>
      </c>
    </row>
    <row r="11" spans="1:5">
      <c r="A11" s="4" t="s">
        <v>49</v>
      </c>
      <c r="B11" s="6" t="s">
        <v>50</v>
      </c>
      <c r="C11" s="6"/>
      <c r="D11" s="6" t="s">
        <v>51</v>
      </c>
      <c r="E11" s="4" t="s">
        <v>52</v>
      </c>
    </row>
    <row r="12" spans="1:5">
      <c r="A12" s="4" t="s">
        <v>49</v>
      </c>
      <c r="B12" s="6" t="s">
        <v>53</v>
      </c>
      <c r="C12" s="6"/>
      <c r="D12" s="6" t="s">
        <v>54</v>
      </c>
      <c r="E12" s="4" t="s">
        <v>52</v>
      </c>
    </row>
    <row r="13" spans="1:5">
      <c r="A13" s="4" t="s">
        <v>55</v>
      </c>
      <c r="B13" s="6" t="s">
        <v>56</v>
      </c>
      <c r="C13" s="6"/>
      <c r="D13" s="6" t="s">
        <v>57</v>
      </c>
      <c r="E13" s="4" t="s">
        <v>58</v>
      </c>
    </row>
    <row r="14" spans="1:5" ht="15.75" thickBot="1">
      <c r="A14" s="4" t="s">
        <v>55</v>
      </c>
      <c r="B14" s="7" t="s">
        <v>59</v>
      </c>
      <c r="C14" s="7"/>
      <c r="D14" s="7" t="s">
        <v>60</v>
      </c>
      <c r="E14" s="4" t="s">
        <v>58</v>
      </c>
    </row>
    <row r="31" spans="2:5" ht="44.1" customHeight="1">
      <c r="B31" s="8" t="s">
        <v>61</v>
      </c>
      <c r="C31" s="8"/>
      <c r="D31" s="8"/>
      <c r="E31" s="8"/>
    </row>
  </sheetData>
  <mergeCells count="1">
    <mergeCell ref="B31:E31"/>
  </mergeCells>
  <conditionalFormatting sqref="A3:A14 E3:E14">
    <cfRule type="containsBlanks" dxfId="0" priority="1">
      <formula>LEN(TRIM(A3))=0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STM32H743XIH6</vt:lpstr>
      <vt:lpstr>TB6612FNG</vt:lpstr>
      <vt:lpstr>PCA9548a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Levy</dc:creator>
  <cp:lastModifiedBy>Evan Levy</cp:lastModifiedBy>
  <dcterms:created xsi:type="dcterms:W3CDTF">2026-04-14T16:43:45Z</dcterms:created>
  <dcterms:modified xsi:type="dcterms:W3CDTF">2026-04-15T19:50:28Z</dcterms:modified>
</cp:coreProperties>
</file>