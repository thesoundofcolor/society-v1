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96CB379E3A3AB8/Documents/Projects/Society_v1/"/>
    </mc:Choice>
  </mc:AlternateContent>
  <xr:revisionPtr revIDLastSave="134" documentId="8_{99C29C3B-BFA9-4E2C-A355-69CB3F8B861A}" xr6:coauthVersionLast="47" xr6:coauthVersionMax="47" xr10:uidLastSave="{3154C076-B110-4CDF-99DB-E0EBCC65ECDB}"/>
  <bookViews>
    <workbookView xWindow="28680" yWindow="1890" windowWidth="20640" windowHeight="11040" xr2:uid="{87D14C28-1B4B-4303-BB19-5F1D10AAEC34}"/>
  </bookViews>
  <sheets>
    <sheet name="esp32 (v2)" sheetId="5" r:id="rId1"/>
    <sheet name="TB6612FNG" sheetId="4" r:id="rId2"/>
    <sheet name="pca9548a" sheetId="3" r:id="rId3"/>
  </sheets>
  <definedNames>
    <definedName name="_xlnm.Print_Area" localSheetId="2">pca9548a!$A$1:$F$31</definedName>
    <definedName name="_xlnm.Print_Area" localSheetId="1">TB6612FNG!$A$1:$L$52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4" l="1"/>
  <c r="B12" i="4"/>
  <c r="B16" i="4"/>
  <c r="B27" i="4"/>
  <c r="B11" i="4"/>
  <c r="B34" i="4"/>
  <c r="B33" i="4"/>
  <c r="B44" i="4"/>
  <c r="B30" i="4"/>
  <c r="B39" i="4"/>
  <c r="B38" i="4"/>
  <c r="B37" i="4"/>
  <c r="B36" i="4"/>
  <c r="B32" i="4"/>
  <c r="B31" i="4"/>
  <c r="B29" i="4"/>
  <c r="B15" i="4"/>
  <c r="B14" i="4"/>
  <c r="B10" i="4"/>
  <c r="B51" i="4"/>
  <c r="A6" i="3"/>
  <c r="A5" i="3"/>
  <c r="B46" i="4"/>
  <c r="B21" i="4"/>
  <c r="B26" i="4"/>
  <c r="B9" i="4"/>
  <c r="B4" i="4"/>
  <c r="B43" i="4"/>
  <c r="B19" i="4"/>
</calcChain>
</file>

<file path=xl/sharedStrings.xml><?xml version="1.0" encoding="utf-8"?>
<sst xmlns="http://schemas.openxmlformats.org/spreadsheetml/2006/main" count="210" uniqueCount="131">
  <si>
    <t>Vbus</t>
  </si>
  <si>
    <t>Vsys</t>
  </si>
  <si>
    <t>GND</t>
  </si>
  <si>
    <t>3V3_EN</t>
  </si>
  <si>
    <t>RUN</t>
  </si>
  <si>
    <t>EXIO1</t>
  </si>
  <si>
    <t>EXIO2</t>
  </si>
  <si>
    <t>EXIO3</t>
  </si>
  <si>
    <t>EXIO4</t>
  </si>
  <si>
    <t>EXIO5</t>
  </si>
  <si>
    <t>EXIO6</t>
  </si>
  <si>
    <t>EXIO7</t>
  </si>
  <si>
    <t>3V3</t>
  </si>
  <si>
    <t>GPIO0</t>
  </si>
  <si>
    <t>GPIO1</t>
  </si>
  <si>
    <t>GPIO2</t>
  </si>
  <si>
    <t>GPIO3</t>
  </si>
  <si>
    <t>GPIO23</t>
  </si>
  <si>
    <t>GPIO22</t>
  </si>
  <si>
    <t>GPIO4</t>
  </si>
  <si>
    <t>GPIO5</t>
  </si>
  <si>
    <t>GPIO6</t>
  </si>
  <si>
    <t>GPIO7</t>
  </si>
  <si>
    <t>GPIO14</t>
  </si>
  <si>
    <t>GPIO15</t>
  </si>
  <si>
    <t>GPIO8</t>
  </si>
  <si>
    <t>GPIO9</t>
  </si>
  <si>
    <t>GPIO18</t>
  </si>
  <si>
    <t>GPIO19</t>
  </si>
  <si>
    <t>GPIO20</t>
  </si>
  <si>
    <t>GPIO21</t>
  </si>
  <si>
    <t>GPIO16 (TXD)</t>
  </si>
  <si>
    <t>GPIO17 (RXD)</t>
  </si>
  <si>
    <t>VIN</t>
  </si>
  <si>
    <t>SDA</t>
  </si>
  <si>
    <t>SCL</t>
  </si>
  <si>
    <t>RST</t>
  </si>
  <si>
    <t>A0</t>
  </si>
  <si>
    <t>A1</t>
  </si>
  <si>
    <t>A2</t>
  </si>
  <si>
    <t>SD0</t>
  </si>
  <si>
    <t>SC0</t>
  </si>
  <si>
    <t>SD1</t>
  </si>
  <si>
    <t>SC1</t>
  </si>
  <si>
    <t>SC7</t>
  </si>
  <si>
    <t>SD7</t>
  </si>
  <si>
    <t>SC6</t>
  </si>
  <si>
    <t>SD6</t>
  </si>
  <si>
    <t>SC5</t>
  </si>
  <si>
    <t>SD5</t>
  </si>
  <si>
    <t>SC4</t>
  </si>
  <si>
    <t>SD4</t>
  </si>
  <si>
    <t>SC3</t>
  </si>
  <si>
    <t>SD3</t>
  </si>
  <si>
    <t>SC2</t>
  </si>
  <si>
    <t>SD2</t>
  </si>
  <si>
    <t>3.3V</t>
  </si>
  <si>
    <t>OLED1</t>
  </si>
  <si>
    <t>OLED2</t>
  </si>
  <si>
    <t>OLED3</t>
  </si>
  <si>
    <t>OLED4</t>
  </si>
  <si>
    <t>OLED5</t>
  </si>
  <si>
    <t>X</t>
  </si>
  <si>
    <t>VM</t>
  </si>
  <si>
    <t>VCC</t>
  </si>
  <si>
    <t>A01</t>
  </si>
  <si>
    <t>A02</t>
  </si>
  <si>
    <t>B02</t>
  </si>
  <si>
    <t>B01</t>
  </si>
  <si>
    <t>AI2</t>
  </si>
  <si>
    <t>AI1</t>
  </si>
  <si>
    <t>STBY</t>
  </si>
  <si>
    <t>BI1</t>
  </si>
  <si>
    <t>BI2</t>
  </si>
  <si>
    <t>PWMA</t>
  </si>
  <si>
    <t>PWMB</t>
  </si>
  <si>
    <t>x</t>
  </si>
  <si>
    <t>Ground</t>
  </si>
  <si>
    <t>strap</t>
  </si>
  <si>
    <t>Slider 1 -</t>
  </si>
  <si>
    <t>Slider 2 -</t>
  </si>
  <si>
    <t>Slider 2 +</t>
  </si>
  <si>
    <t>Slider 3 +</t>
  </si>
  <si>
    <t>Slider 3 -</t>
  </si>
  <si>
    <t>Slider 4 -</t>
  </si>
  <si>
    <t>Slider 4 +</t>
  </si>
  <si>
    <t>Slider 5 +</t>
  </si>
  <si>
    <t>Slider 5 -</t>
  </si>
  <si>
    <t>adc</t>
  </si>
  <si>
    <t>3v3</t>
  </si>
  <si>
    <t>ESP Pin</t>
  </si>
  <si>
    <t>Pinout / Connections</t>
  </si>
  <si>
    <t>-</t>
  </si>
  <si>
    <t>EXIO07</t>
  </si>
  <si>
    <t>Slider Pot 1</t>
  </si>
  <si>
    <t>Slider Pot 2</t>
  </si>
  <si>
    <t>Slider Pot 3</t>
  </si>
  <si>
    <t>Slider Pot 4</t>
  </si>
  <si>
    <t>Button Ladder</t>
  </si>
  <si>
    <t>Slider Pot 5</t>
  </si>
  <si>
    <t>3.3V Enable (not used)</t>
  </si>
  <si>
    <t>Slider 1+</t>
  </si>
  <si>
    <t>5V</t>
  </si>
  <si>
    <r>
      <t xml:space="preserve">Connect </t>
    </r>
    <r>
      <rPr>
        <sz val="9"/>
        <color theme="1"/>
        <rFont val="Arial Unicode MS"/>
      </rPr>
      <t>RESET</t>
    </r>
    <r>
      <rPr>
        <sz val="9"/>
        <color theme="1"/>
        <rFont val="Aptos Narrow"/>
        <family val="2"/>
        <scheme val="minor"/>
      </rPr>
      <t xml:space="preserve"> to 3.3V through a </t>
    </r>
    <r>
      <rPr>
        <b/>
        <sz val="9"/>
        <color theme="1"/>
        <rFont val="Aptos Narrow"/>
        <family val="2"/>
        <scheme val="minor"/>
      </rPr>
      <t>10k pull-up resistor</t>
    </r>
    <r>
      <rPr>
        <sz val="9"/>
        <color theme="1"/>
        <rFont val="Aptos Narrow"/>
        <family val="2"/>
        <scheme val="minor"/>
      </rPr>
      <t xml:space="preserve"> and a small </t>
    </r>
    <r>
      <rPr>
        <b/>
        <sz val="9"/>
        <color theme="1"/>
        <rFont val="Aptos Narrow"/>
        <family val="2"/>
        <scheme val="minor"/>
      </rPr>
      <t>capacitor (e.g., 0.1 µF)</t>
    </r>
    <r>
      <rPr>
        <sz val="9"/>
        <color theme="1"/>
        <rFont val="Aptos Narrow"/>
        <family val="2"/>
        <scheme val="minor"/>
      </rPr>
      <t xml:space="preserve"> from </t>
    </r>
    <r>
      <rPr>
        <sz val="9"/>
        <color theme="1"/>
        <rFont val="Arial Unicode MS"/>
      </rPr>
      <t>RESET</t>
    </r>
    <r>
      <rPr>
        <sz val="9"/>
        <color theme="1"/>
        <rFont val="Aptos Narrow"/>
        <family val="2"/>
        <scheme val="minor"/>
      </rPr>
      <t xml:space="preserve"> to GND.</t>
    </r>
  </si>
  <si>
    <t>TB6612 [2] - PWMA</t>
  </si>
  <si>
    <t>TB6612 [ 1 ]- AIN1  (Slider 5 +)</t>
  </si>
  <si>
    <t>Driver 2</t>
  </si>
  <si>
    <t>Driver 1</t>
  </si>
  <si>
    <t>Driver 3</t>
  </si>
  <si>
    <t>TB6612  [1] - PWMB</t>
  </si>
  <si>
    <t>TB6612 [ 2] - PWMB</t>
  </si>
  <si>
    <t>TB6612 [ 2] - AIN2 (Slider 3 -)</t>
  </si>
  <si>
    <t>TB6612 [1] - AIN2 (Slider 5 -)</t>
  </si>
  <si>
    <t>3.3V Output</t>
  </si>
  <si>
    <t>Rotary Encoder - SW</t>
  </si>
  <si>
    <t>TB6612 [ 2] - BIN1 (Slider 2 +)</t>
  </si>
  <si>
    <t>TB6612 [ 2] - BIN2 (Slider 2 -)</t>
  </si>
  <si>
    <t>TB6612 [3] - AIN1 (Slider 1 +)</t>
  </si>
  <si>
    <t>TB6612 [3] - AIN2 (Slider 1 -)</t>
  </si>
  <si>
    <t>TB6612 [2] - AIN1 (Slider 3 +)</t>
  </si>
  <si>
    <t>TB6612 Standby (Shared pin)</t>
  </si>
  <si>
    <t>TB6612 [ 1] - PWMA</t>
  </si>
  <si>
    <t>Rotary Encoder - CLK</t>
  </si>
  <si>
    <t>Rotary Encoder - DT</t>
  </si>
  <si>
    <t>PCA9548A - SDA</t>
  </si>
  <si>
    <t>PCA9548A - SCL</t>
  </si>
  <si>
    <t>TB6612 [3] - PWMA</t>
  </si>
  <si>
    <t>TB6612 [ 1] - BIN1 (Slider 4 +)</t>
  </si>
  <si>
    <t>TB6612  [ 1] - BIN2 (Slider 4 -)</t>
  </si>
  <si>
    <t>USB 5V Input</t>
  </si>
  <si>
    <t>System Power (5v input)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</si>
</sst>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rial Unicode MS"/>
    </font>
    <font>
      <b/>
      <sz val="9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61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19" applyNumberFormat="0" applyFill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/>
    <xf numFmtId="0" fontId="0" fillId="3" borderId="1" xfId="0" applyFill="1" applyBorder="1"/>
    <xf numFmtId="0" fontId="0" fillId="3" borderId="0" xfId="0" applyFill="1"/>
    <xf numFmtId="0" fontId="0" fillId="3" borderId="2" xfId="0" applyFill="1" applyBorder="1"/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2" borderId="5" xfId="1" applyFont="1" applyBorder="1" applyAlignment="1">
      <alignment horizontal="center"/>
    </xf>
    <xf numFmtId="0" fontId="7" fillId="0" borderId="3" xfId="0" applyFont="1" applyBorder="1"/>
    <xf numFmtId="0" fontId="8" fillId="5" borderId="3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2" borderId="17" xfId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2" borderId="16" xfId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4" xfId="1" applyFont="1" applyBorder="1" applyAlignment="1">
      <alignment horizontal="center"/>
    </xf>
    <xf numFmtId="0" fontId="9" fillId="2" borderId="15" xfId="1" applyFont="1" applyBorder="1" applyAlignment="1">
      <alignment horizontal="center"/>
    </xf>
    <xf numFmtId="0" fontId="9" fillId="2" borderId="18" xfId="1" applyFont="1" applyBorder="1" applyAlignment="1">
      <alignment horizontal="center"/>
    </xf>
    <xf numFmtId="0" fontId="9" fillId="2" borderId="0" xfId="1" applyFont="1" applyAlignment="1">
      <alignment horizontal="center"/>
    </xf>
    <xf numFmtId="0" fontId="8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7" borderId="19" xfId="2" applyFill="1" applyAlignment="1">
      <alignment horizontal="center"/>
    </xf>
    <xf numFmtId="0" fontId="6" fillId="7" borderId="19" xfId="2" applyFill="1"/>
  </cellXfs>
  <cellStyles count="3">
    <cellStyle name="Good" xfId="1" builtinId="26"/>
    <cellStyle name="Heading 3" xfId="2" builtinId="18"/>
    <cellStyle name="Normal" xfId="0" builtinId="0"/>
  </cellStyles>
  <dxfs count="0"/>
  <tableStyles count="0" defaultTableStyle="TableStyleMedium2" defaultPivotStyle="PivotStyleLight16"/>
  <colors>
    <mruColors>
      <color rgb="FFFFAFA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414988</xdr:colOff>
      <xdr:row>18</xdr:row>
      <xdr:rowOff>12036</xdr:rowOff>
    </xdr:from>
    <xdr:to>
      <xdr:col>5</xdr:col>
      <xdr:colOff>580722</xdr:colOff>
      <xdr:row>35</xdr:row>
      <xdr:rowOff>38661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4989D-6B33-1318-3EE0-23D8E97FF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6223" y="2230801"/>
          <a:ext cx="2238823" cy="2122125"/>
        </a:xfrm>
        <a:prstGeom prst="rect">
          <a:avLst/>
        </a:prstGeom>
      </xdr:spPr>
    </xdr:pic>
    <xdr:clientData/>
  </xdr:twoCellAnchor>
  <xdr:twoCellAnchor editAs="oneCell">
    <xdr:from>
      <xdr:col>2</xdr:col>
      <xdr:colOff>385708</xdr:colOff>
      <xdr:row>0</xdr:row>
      <xdr:rowOff>70411</xdr:rowOff>
    </xdr:from>
    <xdr:to>
      <xdr:col>5</xdr:col>
      <xdr:colOff>581275</xdr:colOff>
      <xdr:row>18</xdr:row>
      <xdr:rowOff>6934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0A77FA-9C76-B399-2641-BA2A09F0F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943" y="70411"/>
          <a:ext cx="2262306" cy="2161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295088</xdr:colOff>
      <xdr:row>14</xdr:row>
      <xdr:rowOff>81430</xdr:rowOff>
    </xdr:from>
    <xdr:to>
      <xdr:col>4</xdr:col>
      <xdr:colOff>8493</xdr:colOff>
      <xdr:row>29</xdr:row>
      <xdr:rowOff>10646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FE60F-CF41-A326-C93B-16EDFD88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088" y="2711077"/>
          <a:ext cx="2069815" cy="2733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8909-C08E-476C-82B5-5C2F6B221E54}">
  <dimension ref="A1:F41"/>
  <sheetViews>
    <sheetView tabSelected="1" view="pageBreakPreview" topLeftCell="A17" zoomScale="85" zoomScaleNormal="85" zoomScaleSheetLayoutView="85" workbookViewId="0">
      <selection activeCell="A2" sqref="A2:C41"/>
    </sheetView>
  </sheetViews>
  <sheetFormatPr defaultRowHeight="14.5"/>
  <cols>
    <col min="1" max="1" width="11.08984375" style="1" bestFit="1" customWidth="1"/>
    <col min="2" max="2" width="4.7265625" style="2" bestFit="1" customWidth="1"/>
    <col min="3" max="3" width="22.36328125" style="32" bestFit="1" customWidth="1"/>
    <col min="4" max="4" width="3.81640625" customWidth="1"/>
    <col min="5" max="5" width="6.6328125" customWidth="1"/>
    <col min="6" max="6" width="23.08984375" customWidth="1"/>
  </cols>
  <sheetData>
    <row r="1" spans="1:6" ht="15" thickBot="1">
      <c r="A1" s="35" t="s">
        <v>90</v>
      </c>
      <c r="B1" s="35"/>
      <c r="C1" s="35" t="s">
        <v>91</v>
      </c>
      <c r="D1" s="36"/>
      <c r="E1" s="36"/>
      <c r="F1" s="36"/>
    </row>
    <row r="2" spans="1:6">
      <c r="A2" s="7" t="s">
        <v>12</v>
      </c>
      <c r="B2" s="8"/>
      <c r="C2" s="9" t="s">
        <v>113</v>
      </c>
      <c r="D2" s="10"/>
      <c r="E2" s="10"/>
      <c r="F2" s="3"/>
    </row>
    <row r="3" spans="1:6">
      <c r="A3" s="7" t="s">
        <v>3</v>
      </c>
      <c r="B3" s="8"/>
      <c r="C3" s="9" t="s">
        <v>100</v>
      </c>
      <c r="D3" s="10"/>
      <c r="E3" s="10"/>
      <c r="F3" s="3"/>
    </row>
    <row r="4" spans="1:6">
      <c r="A4" s="7" t="s">
        <v>5</v>
      </c>
      <c r="B4" s="8"/>
      <c r="C4" s="9" t="s">
        <v>114</v>
      </c>
      <c r="D4" s="10"/>
      <c r="E4" s="10"/>
      <c r="F4" s="3"/>
    </row>
    <row r="5" spans="1:6">
      <c r="A5" s="7" t="s">
        <v>6</v>
      </c>
      <c r="B5" s="8"/>
      <c r="C5" s="9" t="s">
        <v>115</v>
      </c>
      <c r="D5" s="10"/>
      <c r="E5" s="10"/>
      <c r="F5" s="3"/>
    </row>
    <row r="6" spans="1:6">
      <c r="A6" s="7" t="s">
        <v>7</v>
      </c>
      <c r="B6" s="8"/>
      <c r="C6" s="9" t="s">
        <v>116</v>
      </c>
      <c r="D6" s="10"/>
      <c r="E6" s="10"/>
      <c r="F6" s="3"/>
    </row>
    <row r="7" spans="1:6">
      <c r="A7" s="7" t="s">
        <v>8</v>
      </c>
      <c r="B7" s="8"/>
      <c r="C7" s="9" t="s">
        <v>117</v>
      </c>
      <c r="D7" s="10"/>
      <c r="E7" s="10"/>
      <c r="F7" s="3"/>
    </row>
    <row r="8" spans="1:6">
      <c r="A8" s="7" t="s">
        <v>9</v>
      </c>
      <c r="B8" s="8"/>
      <c r="C8" s="9" t="s">
        <v>118</v>
      </c>
      <c r="D8" s="10"/>
      <c r="E8" s="10"/>
      <c r="F8" s="3"/>
    </row>
    <row r="9" spans="1:6">
      <c r="A9" s="7" t="s">
        <v>10</v>
      </c>
      <c r="B9" s="8"/>
      <c r="C9" s="9" t="s">
        <v>119</v>
      </c>
      <c r="D9" s="10"/>
      <c r="E9" s="10"/>
      <c r="F9" s="3"/>
    </row>
    <row r="10" spans="1:6">
      <c r="A10" s="7" t="s">
        <v>11</v>
      </c>
      <c r="B10" s="8"/>
      <c r="C10" s="9" t="s">
        <v>120</v>
      </c>
      <c r="D10" s="10"/>
      <c r="E10" s="10"/>
      <c r="F10" s="3"/>
    </row>
    <row r="11" spans="1:6">
      <c r="A11" s="7" t="s">
        <v>2</v>
      </c>
      <c r="B11" s="8"/>
      <c r="C11" s="9" t="s">
        <v>77</v>
      </c>
      <c r="D11" s="10"/>
      <c r="E11" s="10"/>
      <c r="F11" s="3"/>
    </row>
    <row r="12" spans="1:6">
      <c r="A12" s="7" t="s">
        <v>2</v>
      </c>
      <c r="B12" s="8"/>
      <c r="C12" s="9" t="s">
        <v>77</v>
      </c>
      <c r="D12" s="10"/>
      <c r="E12" s="10"/>
      <c r="F12" s="3"/>
    </row>
    <row r="13" spans="1:6">
      <c r="A13" s="7" t="s">
        <v>2</v>
      </c>
      <c r="B13" s="8"/>
      <c r="C13" s="9" t="s">
        <v>77</v>
      </c>
      <c r="D13" s="10"/>
      <c r="E13" s="10"/>
      <c r="F13" s="3"/>
    </row>
    <row r="14" spans="1:6">
      <c r="A14" s="7" t="s">
        <v>2</v>
      </c>
      <c r="B14" s="8"/>
      <c r="C14" s="9" t="s">
        <v>77</v>
      </c>
      <c r="D14" s="10"/>
      <c r="E14" s="10"/>
      <c r="F14" s="3"/>
    </row>
    <row r="15" spans="1:6">
      <c r="A15" s="7" t="s">
        <v>2</v>
      </c>
      <c r="B15" s="8"/>
      <c r="C15" s="9" t="s">
        <v>77</v>
      </c>
      <c r="D15" s="10"/>
      <c r="E15" s="10"/>
      <c r="F15" s="3"/>
    </row>
    <row r="16" spans="1:6">
      <c r="A16" s="7" t="s">
        <v>2</v>
      </c>
      <c r="B16" s="8"/>
      <c r="C16" s="9" t="s">
        <v>77</v>
      </c>
      <c r="D16" s="10"/>
      <c r="E16" s="10"/>
      <c r="F16" s="3"/>
    </row>
    <row r="17" spans="1:6">
      <c r="A17" s="7" t="s">
        <v>2</v>
      </c>
      <c r="B17" s="8"/>
      <c r="C17" s="9" t="s">
        <v>77</v>
      </c>
      <c r="D17" s="10"/>
      <c r="E17" s="10"/>
      <c r="F17" s="3"/>
    </row>
    <row r="18" spans="1:6">
      <c r="A18" s="7" t="s">
        <v>2</v>
      </c>
      <c r="B18" s="8"/>
      <c r="C18" s="9" t="s">
        <v>77</v>
      </c>
      <c r="D18" s="10"/>
      <c r="E18" s="10"/>
      <c r="F18" s="3"/>
    </row>
    <row r="19" spans="1:6">
      <c r="A19" s="7" t="s">
        <v>13</v>
      </c>
      <c r="B19" s="11" t="s">
        <v>88</v>
      </c>
      <c r="C19" s="9" t="s">
        <v>94</v>
      </c>
      <c r="D19" s="10"/>
      <c r="E19" s="10"/>
      <c r="F19" s="3"/>
    </row>
    <row r="20" spans="1:6">
      <c r="A20" s="7" t="s">
        <v>14</v>
      </c>
      <c r="B20" s="11" t="s">
        <v>88</v>
      </c>
      <c r="C20" s="9" t="s">
        <v>95</v>
      </c>
      <c r="D20" s="10"/>
      <c r="E20" s="10"/>
      <c r="F20" s="3"/>
    </row>
    <row r="21" spans="1:6" ht="15" thickBot="1">
      <c r="A21" s="12" t="s">
        <v>23</v>
      </c>
      <c r="B21" s="13"/>
      <c r="C21" s="14" t="s">
        <v>121</v>
      </c>
      <c r="D21" s="10"/>
      <c r="E21" s="10"/>
      <c r="F21" s="3"/>
    </row>
    <row r="22" spans="1:6">
      <c r="A22" s="15" t="s">
        <v>24</v>
      </c>
      <c r="B22" s="16" t="s">
        <v>78</v>
      </c>
      <c r="C22" s="29" t="s">
        <v>112</v>
      </c>
      <c r="D22" s="10"/>
      <c r="E22" s="10"/>
      <c r="F22" s="3"/>
    </row>
    <row r="23" spans="1:6">
      <c r="A23" s="17" t="s">
        <v>31</v>
      </c>
      <c r="B23" s="8"/>
      <c r="C23" s="9" t="s">
        <v>104</v>
      </c>
      <c r="D23" s="10"/>
      <c r="E23" s="10"/>
      <c r="F23" s="3"/>
    </row>
    <row r="24" spans="1:6" ht="15" thickBot="1">
      <c r="A24" s="18" t="s">
        <v>32</v>
      </c>
      <c r="B24" s="19"/>
      <c r="C24" s="30" t="s">
        <v>109</v>
      </c>
      <c r="D24" s="10"/>
      <c r="E24" s="10"/>
      <c r="F24" s="3"/>
    </row>
    <row r="25" spans="1:6">
      <c r="A25" s="20" t="s">
        <v>27</v>
      </c>
      <c r="B25" s="21"/>
      <c r="C25" s="22" t="s">
        <v>122</v>
      </c>
      <c r="D25" s="10"/>
      <c r="E25" s="10"/>
      <c r="F25" s="3"/>
    </row>
    <row r="26" spans="1:6">
      <c r="A26" s="7" t="s">
        <v>28</v>
      </c>
      <c r="B26" s="8"/>
      <c r="C26" s="9" t="s">
        <v>123</v>
      </c>
      <c r="D26" s="10"/>
      <c r="E26" s="10"/>
      <c r="F26" s="3"/>
    </row>
    <row r="27" spans="1:6">
      <c r="A27" s="7" t="s">
        <v>15</v>
      </c>
      <c r="B27" s="11" t="s">
        <v>88</v>
      </c>
      <c r="C27" s="9" t="s">
        <v>96</v>
      </c>
      <c r="D27" s="10"/>
      <c r="E27" s="10"/>
      <c r="F27" s="3"/>
    </row>
    <row r="28" spans="1:6">
      <c r="A28" s="7" t="s">
        <v>29</v>
      </c>
      <c r="B28" s="8"/>
      <c r="C28" s="9" t="s">
        <v>124</v>
      </c>
      <c r="D28" s="10"/>
      <c r="E28" s="10"/>
      <c r="F28" s="3"/>
    </row>
    <row r="29" spans="1:6">
      <c r="A29" s="7" t="s">
        <v>30</v>
      </c>
      <c r="B29" s="8"/>
      <c r="C29" s="9" t="s">
        <v>125</v>
      </c>
      <c r="D29" s="10"/>
      <c r="E29" s="10"/>
      <c r="F29" s="3"/>
    </row>
    <row r="30" spans="1:6" ht="15" thickBot="1">
      <c r="A30" s="12" t="s">
        <v>18</v>
      </c>
      <c r="B30" s="13"/>
      <c r="C30" s="14" t="s">
        <v>126</v>
      </c>
      <c r="D30" s="10"/>
      <c r="E30" s="10"/>
      <c r="F30" s="3"/>
    </row>
    <row r="31" spans="1:6" ht="15" thickBot="1">
      <c r="A31" s="23" t="s">
        <v>17</v>
      </c>
      <c r="B31" s="24"/>
      <c r="C31" s="31" t="s">
        <v>110</v>
      </c>
      <c r="D31" s="10"/>
      <c r="E31" s="10"/>
      <c r="F31" s="3"/>
    </row>
    <row r="32" spans="1:6">
      <c r="A32" s="20" t="s">
        <v>16</v>
      </c>
      <c r="B32" s="25" t="s">
        <v>88</v>
      </c>
      <c r="C32" s="22" t="s">
        <v>97</v>
      </c>
      <c r="D32" s="10"/>
      <c r="E32" s="10"/>
      <c r="F32" s="3"/>
    </row>
    <row r="33" spans="1:6">
      <c r="A33" s="7" t="s">
        <v>19</v>
      </c>
      <c r="B33" s="8"/>
      <c r="C33" s="9" t="s">
        <v>127</v>
      </c>
      <c r="D33" s="10"/>
      <c r="E33" s="10"/>
      <c r="F33" s="3"/>
    </row>
    <row r="34" spans="1:6">
      <c r="A34" s="7" t="s">
        <v>20</v>
      </c>
      <c r="B34" s="11" t="s">
        <v>88</v>
      </c>
      <c r="C34" s="9" t="s">
        <v>98</v>
      </c>
      <c r="D34" s="10"/>
      <c r="E34" s="10"/>
      <c r="F34" s="3"/>
    </row>
    <row r="35" spans="1:6">
      <c r="A35" s="7" t="s">
        <v>21</v>
      </c>
      <c r="B35" s="11" t="s">
        <v>88</v>
      </c>
      <c r="C35" s="9" t="s">
        <v>99</v>
      </c>
      <c r="D35" s="10"/>
      <c r="E35" s="10"/>
      <c r="F35" s="3"/>
    </row>
    <row r="36" spans="1:6" ht="15" thickBot="1">
      <c r="A36" s="12" t="s">
        <v>22</v>
      </c>
      <c r="B36" s="13"/>
      <c r="C36" s="14" t="s">
        <v>128</v>
      </c>
      <c r="D36" s="10"/>
      <c r="E36" s="10"/>
      <c r="F36" s="3"/>
    </row>
    <row r="37" spans="1:6">
      <c r="A37" s="15" t="s">
        <v>25</v>
      </c>
      <c r="B37" s="16" t="s">
        <v>78</v>
      </c>
      <c r="C37" s="29" t="s">
        <v>105</v>
      </c>
      <c r="D37" s="10"/>
      <c r="E37" s="10"/>
      <c r="F37" s="3"/>
    </row>
    <row r="38" spans="1:6" ht="15" thickBot="1">
      <c r="A38" s="18" t="s">
        <v>26</v>
      </c>
      <c r="B38" s="26" t="s">
        <v>78</v>
      </c>
      <c r="C38" s="30" t="s">
        <v>111</v>
      </c>
      <c r="D38" s="10"/>
      <c r="E38" s="10"/>
      <c r="F38" s="3"/>
    </row>
    <row r="39" spans="1:6">
      <c r="A39" s="20" t="s">
        <v>4</v>
      </c>
      <c r="B39" s="21"/>
      <c r="C39" s="22" t="s">
        <v>92</v>
      </c>
      <c r="D39" s="10"/>
      <c r="E39" s="10"/>
      <c r="F39" s="3"/>
    </row>
    <row r="40" spans="1:6">
      <c r="A40" s="7" t="s">
        <v>0</v>
      </c>
      <c r="B40" s="8"/>
      <c r="C40" s="9" t="s">
        <v>129</v>
      </c>
      <c r="D40" s="10"/>
      <c r="E40" s="10"/>
      <c r="F40" s="3"/>
    </row>
    <row r="41" spans="1:6">
      <c r="A41" s="7" t="s">
        <v>1</v>
      </c>
      <c r="B41" s="8"/>
      <c r="C41" s="9" t="s">
        <v>130</v>
      </c>
      <c r="D41" s="10"/>
      <c r="E41" s="10"/>
      <c r="F41" s="3"/>
    </row>
  </sheetData>
  <sortState xmlns:xlrd2="http://schemas.microsoft.com/office/spreadsheetml/2017/richdata2" ref="A2:C42">
    <sortCondition ref="A2:A42"/>
  </sortState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B155-45DA-4279-BE60-A5E770689DDD}">
  <dimension ref="A1:F51"/>
  <sheetViews>
    <sheetView view="pageBreakPreview" topLeftCell="A16" zoomScale="115" zoomScaleNormal="55" zoomScaleSheetLayoutView="115" workbookViewId="0">
      <selection activeCell="B29" sqref="B29"/>
    </sheetView>
  </sheetViews>
  <sheetFormatPr defaultRowHeight="10" customHeight="1"/>
  <cols>
    <col min="1" max="1" width="10.81640625" style="28" customWidth="1"/>
    <col min="2" max="2" width="12" style="28" bestFit="1" customWidth="1"/>
    <col min="3" max="4" width="8.7265625" style="28"/>
    <col min="5" max="5" width="12.36328125" style="28" bestFit="1" customWidth="1"/>
    <col min="6" max="9" width="8.7265625" style="28"/>
    <col min="10" max="10" width="3.90625" style="28" customWidth="1"/>
    <col min="11" max="11" width="2.90625" style="28" customWidth="1"/>
    <col min="12" max="12" width="25.36328125" style="28" bestFit="1" customWidth="1"/>
    <col min="13" max="16384" width="8.7265625" style="28"/>
  </cols>
  <sheetData>
    <row r="1" spans="1:2" ht="10" customHeight="1">
      <c r="A1" s="33" t="s">
        <v>107</v>
      </c>
      <c r="B1" s="33"/>
    </row>
    <row r="2" spans="1:2" ht="10" customHeight="1">
      <c r="A2" s="27" t="s">
        <v>63</v>
      </c>
      <c r="B2" s="27" t="s">
        <v>102</v>
      </c>
    </row>
    <row r="3" spans="1:2" ht="10" customHeight="1">
      <c r="A3" s="27" t="s">
        <v>64</v>
      </c>
      <c r="B3" s="27" t="s">
        <v>56</v>
      </c>
    </row>
    <row r="4" spans="1:2" ht="10" customHeight="1">
      <c r="A4" s="27" t="s">
        <v>2</v>
      </c>
      <c r="B4" s="27" t="str">
        <f>'esp32 (v2)'!A12</f>
        <v>GND</v>
      </c>
    </row>
    <row r="5" spans="1:2" ht="10" customHeight="1">
      <c r="A5" s="27" t="s">
        <v>65</v>
      </c>
      <c r="B5" s="27" t="s">
        <v>86</v>
      </c>
    </row>
    <row r="6" spans="1:2" ht="10" customHeight="1">
      <c r="A6" s="27" t="s">
        <v>66</v>
      </c>
      <c r="B6" s="27" t="s">
        <v>87</v>
      </c>
    </row>
    <row r="7" spans="1:2" ht="10" customHeight="1">
      <c r="A7" s="27" t="s">
        <v>67</v>
      </c>
      <c r="B7" s="27" t="s">
        <v>84</v>
      </c>
    </row>
    <row r="8" spans="1:2" ht="10" customHeight="1">
      <c r="A8" s="27" t="s">
        <v>68</v>
      </c>
      <c r="B8" s="27" t="s">
        <v>85</v>
      </c>
    </row>
    <row r="9" spans="1:2" ht="10" customHeight="1">
      <c r="A9" s="27" t="s">
        <v>2</v>
      </c>
      <c r="B9" s="27" t="str">
        <f>'esp32 (v2)'!A13</f>
        <v>GND</v>
      </c>
    </row>
    <row r="10" spans="1:2" ht="10" customHeight="1">
      <c r="A10" s="27" t="s">
        <v>74</v>
      </c>
      <c r="B10" s="27" t="str">
        <f>'esp32 (v2)'!A21</f>
        <v>GPIO14</v>
      </c>
    </row>
    <row r="11" spans="1:2" ht="10" customHeight="1">
      <c r="A11" s="27" t="s">
        <v>69</v>
      </c>
      <c r="B11" s="27" t="str">
        <f>'esp32 (v2)'!A22</f>
        <v>GPIO15</v>
      </c>
    </row>
    <row r="12" spans="1:2" ht="10" customHeight="1">
      <c r="A12" s="27" t="s">
        <v>70</v>
      </c>
      <c r="B12" s="27" t="str">
        <f>'esp32 (v2)'!A37</f>
        <v>GPIO8</v>
      </c>
    </row>
    <row r="13" spans="1:2" ht="10" customHeight="1">
      <c r="A13" s="27" t="s">
        <v>71</v>
      </c>
      <c r="B13" s="27" t="s">
        <v>93</v>
      </c>
    </row>
    <row r="14" spans="1:2" ht="10" customHeight="1">
      <c r="A14" s="27" t="s">
        <v>72</v>
      </c>
      <c r="B14" s="27" t="str">
        <f>'esp32 (v2)'!A33</f>
        <v>GPIO4</v>
      </c>
    </row>
    <row r="15" spans="1:2" ht="10" customHeight="1">
      <c r="A15" s="27" t="s">
        <v>73</v>
      </c>
      <c r="B15" s="27" t="str">
        <f>'esp32 (v2)'!A36</f>
        <v>GPIO7</v>
      </c>
    </row>
    <row r="16" spans="1:2" ht="10" customHeight="1">
      <c r="A16" s="27" t="s">
        <v>75</v>
      </c>
      <c r="B16" s="27" t="str">
        <f>'esp32 (v2)'!A24</f>
        <v>GPIO17 (RXD)</v>
      </c>
    </row>
    <row r="17" spans="1:2" ht="10" customHeight="1">
      <c r="A17" s="27" t="s">
        <v>2</v>
      </c>
      <c r="B17" s="27" t="s">
        <v>2</v>
      </c>
    </row>
    <row r="18" spans="1:2" ht="10" customHeight="1">
      <c r="A18" s="33" t="s">
        <v>106</v>
      </c>
      <c r="B18" s="33"/>
    </row>
    <row r="19" spans="1:2" ht="10" customHeight="1">
      <c r="A19" s="27" t="s">
        <v>63</v>
      </c>
      <c r="B19" s="27" t="str">
        <f>B2</f>
        <v>5V</v>
      </c>
    </row>
    <row r="20" spans="1:2" ht="10" customHeight="1">
      <c r="A20" s="27" t="s">
        <v>64</v>
      </c>
      <c r="B20" s="27" t="s">
        <v>12</v>
      </c>
    </row>
    <row r="21" spans="1:2" ht="10" customHeight="1">
      <c r="A21" s="27" t="s">
        <v>2</v>
      </c>
      <c r="B21" s="27" t="str">
        <f>'esp32 (v2)'!A13</f>
        <v>GND</v>
      </c>
    </row>
    <row r="22" spans="1:2" ht="10" customHeight="1">
      <c r="A22" s="27" t="s">
        <v>65</v>
      </c>
      <c r="B22" s="27" t="s">
        <v>82</v>
      </c>
    </row>
    <row r="23" spans="1:2" ht="10" customHeight="1">
      <c r="A23" s="27" t="s">
        <v>66</v>
      </c>
      <c r="B23" s="27" t="s">
        <v>83</v>
      </c>
    </row>
    <row r="24" spans="1:2" ht="10" customHeight="1">
      <c r="A24" s="27" t="s">
        <v>67</v>
      </c>
      <c r="B24" s="27" t="s">
        <v>80</v>
      </c>
    </row>
    <row r="25" spans="1:2" ht="10" customHeight="1">
      <c r="A25" s="27" t="s">
        <v>68</v>
      </c>
      <c r="B25" s="27" t="s">
        <v>81</v>
      </c>
    </row>
    <row r="26" spans="1:2" ht="10" customHeight="1">
      <c r="A26" s="27" t="s">
        <v>2</v>
      </c>
      <c r="B26" s="27" t="str">
        <f>'esp32 (v2)'!A13</f>
        <v>GND</v>
      </c>
    </row>
    <row r="27" spans="1:2" ht="10" customHeight="1">
      <c r="A27" s="27" t="s">
        <v>74</v>
      </c>
      <c r="B27" s="27" t="str">
        <f>'esp32 (v2)'!A23</f>
        <v>GPIO16 (TXD)</v>
      </c>
    </row>
    <row r="28" spans="1:2" ht="10" customHeight="1">
      <c r="A28" s="27" t="s">
        <v>69</v>
      </c>
      <c r="B28" s="27" t="str">
        <f>'esp32 (v2)'!A38</f>
        <v>GPIO9</v>
      </c>
    </row>
    <row r="29" spans="1:2" ht="10" customHeight="1">
      <c r="A29" s="27" t="s">
        <v>70</v>
      </c>
      <c r="B29" s="27" t="str">
        <f>'esp32 (v2)'!A9</f>
        <v>EXIO6</v>
      </c>
    </row>
    <row r="30" spans="1:2" ht="10" customHeight="1">
      <c r="A30" s="27" t="s">
        <v>71</v>
      </c>
      <c r="B30" s="27" t="str">
        <f>'esp32 (v2)'!A10</f>
        <v>EXIO7</v>
      </c>
    </row>
    <row r="31" spans="1:2" ht="10" customHeight="1">
      <c r="A31" s="27" t="s">
        <v>72</v>
      </c>
      <c r="B31" s="27" t="str">
        <f>'esp32 (v2)'!A5</f>
        <v>EXIO2</v>
      </c>
    </row>
    <row r="32" spans="1:2" ht="10" customHeight="1">
      <c r="A32" s="27" t="s">
        <v>73</v>
      </c>
      <c r="B32" s="27" t="str">
        <f>'esp32 (v2)'!A6</f>
        <v>EXIO3</v>
      </c>
    </row>
    <row r="33" spans="1:6" ht="10" customHeight="1">
      <c r="A33" s="27" t="s">
        <v>75</v>
      </c>
      <c r="B33" s="27" t="str">
        <f>'esp32 (v2)'!A24</f>
        <v>GPIO17 (RXD)</v>
      </c>
    </row>
    <row r="34" spans="1:6" ht="10" customHeight="1">
      <c r="A34" s="27" t="s">
        <v>2</v>
      </c>
      <c r="B34" s="27" t="str">
        <f>'esp32 (v2)'!A13</f>
        <v>GND</v>
      </c>
    </row>
    <row r="35" spans="1:6" ht="10" customHeight="1">
      <c r="A35" s="33" t="s">
        <v>108</v>
      </c>
      <c r="B35" s="33"/>
    </row>
    <row r="36" spans="1:6" ht="10" customHeight="1">
      <c r="A36" s="27" t="s">
        <v>74</v>
      </c>
      <c r="B36" s="27" t="str">
        <f>'esp32 (v2)'!A30</f>
        <v>GPIO22</v>
      </c>
    </row>
    <row r="37" spans="1:6" ht="10" customHeight="1">
      <c r="A37" s="27" t="s">
        <v>69</v>
      </c>
      <c r="B37" s="27" t="str">
        <f>'esp32 (v2)'!A8</f>
        <v>EXIO5</v>
      </c>
    </row>
    <row r="38" spans="1:6" ht="10" customHeight="1">
      <c r="A38" s="27" t="s">
        <v>70</v>
      </c>
      <c r="B38" s="27" t="str">
        <f>'esp32 (v2)'!A7</f>
        <v>EXIO4</v>
      </c>
    </row>
    <row r="39" spans="1:6" ht="10" customHeight="1">
      <c r="A39" s="27" t="s">
        <v>71</v>
      </c>
      <c r="B39" s="27" t="str">
        <f>'esp32 (v2)'!A10</f>
        <v>EXIO7</v>
      </c>
    </row>
    <row r="40" spans="1:6" ht="10" customHeight="1">
      <c r="A40" s="27" t="s">
        <v>72</v>
      </c>
      <c r="B40" s="27" t="s">
        <v>76</v>
      </c>
    </row>
    <row r="41" spans="1:6" ht="10" customHeight="1">
      <c r="A41" s="27" t="s">
        <v>73</v>
      </c>
      <c r="B41" s="27" t="s">
        <v>76</v>
      </c>
    </row>
    <row r="42" spans="1:6" ht="10" customHeight="1">
      <c r="A42" s="27" t="s">
        <v>75</v>
      </c>
      <c r="B42" s="27" t="s">
        <v>76</v>
      </c>
    </row>
    <row r="43" spans="1:6" ht="10" customHeight="1">
      <c r="A43" s="27" t="s">
        <v>2</v>
      </c>
      <c r="B43" s="27" t="str">
        <f>'esp32 (v2)'!A13</f>
        <v>GND</v>
      </c>
      <c r="F43" s="27"/>
    </row>
    <row r="44" spans="1:6" ht="10" customHeight="1">
      <c r="A44" s="27" t="s">
        <v>63</v>
      </c>
      <c r="B44" s="27" t="str">
        <f>B2</f>
        <v>5V</v>
      </c>
    </row>
    <row r="45" spans="1:6" ht="10" customHeight="1">
      <c r="A45" s="27" t="s">
        <v>64</v>
      </c>
      <c r="B45" s="27" t="s">
        <v>12</v>
      </c>
    </row>
    <row r="46" spans="1:6" ht="10" customHeight="1">
      <c r="A46" s="27" t="s">
        <v>2</v>
      </c>
      <c r="B46" s="27" t="str">
        <f>'esp32 (v2)'!A13</f>
        <v>GND</v>
      </c>
    </row>
    <row r="47" spans="1:6" ht="10" customHeight="1">
      <c r="A47" s="27" t="s">
        <v>65</v>
      </c>
      <c r="B47" s="27" t="s">
        <v>101</v>
      </c>
    </row>
    <row r="48" spans="1:6" ht="10" customHeight="1">
      <c r="A48" s="27" t="s">
        <v>66</v>
      </c>
      <c r="B48" s="27" t="s">
        <v>79</v>
      </c>
    </row>
    <row r="49" spans="1:2" ht="10" customHeight="1">
      <c r="A49" s="27" t="s">
        <v>67</v>
      </c>
      <c r="B49" s="27" t="s">
        <v>76</v>
      </c>
    </row>
    <row r="50" spans="1:2" ht="10" customHeight="1">
      <c r="A50" s="27" t="s">
        <v>68</v>
      </c>
      <c r="B50" s="27" t="s">
        <v>76</v>
      </c>
    </row>
    <row r="51" spans="1:2" ht="10" customHeight="1">
      <c r="A51" s="27" t="s">
        <v>2</v>
      </c>
      <c r="B51" s="27" t="str">
        <f>'esp32 (v2)'!A12</f>
        <v>GND</v>
      </c>
    </row>
  </sheetData>
  <mergeCells count="3">
    <mergeCell ref="A18:B18"/>
    <mergeCell ref="A1:B1"/>
    <mergeCell ref="A35:B35"/>
  </mergeCells>
  <pageMargins left="0.7" right="0.7" top="0.75" bottom="0.75" header="0.3" footer="0.3"/>
  <pageSetup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6D4BC-6AE8-48D5-BBDB-9BEA8219FD4A}">
  <dimension ref="A2:E31"/>
  <sheetViews>
    <sheetView view="pageBreakPreview" zoomScaleNormal="85" zoomScaleSheetLayoutView="100" workbookViewId="0">
      <selection activeCell="F35" sqref="F35"/>
    </sheetView>
  </sheetViews>
  <sheetFormatPr defaultRowHeight="14.5"/>
  <cols>
    <col min="1" max="1" width="7.36328125" bestFit="1" customWidth="1"/>
    <col min="5" max="5" width="6.36328125" bestFit="1" customWidth="1"/>
  </cols>
  <sheetData>
    <row r="2" spans="1:5" ht="15" thickBot="1"/>
    <row r="3" spans="1:5">
      <c r="A3" s="3" t="s">
        <v>56</v>
      </c>
      <c r="B3" s="4" t="s">
        <v>33</v>
      </c>
      <c r="C3" s="4"/>
      <c r="D3" s="4" t="s">
        <v>44</v>
      </c>
      <c r="E3" s="3" t="s">
        <v>62</v>
      </c>
    </row>
    <row r="4" spans="1:5">
      <c r="A4" s="3" t="s">
        <v>2</v>
      </c>
      <c r="B4" s="5" t="s">
        <v>2</v>
      </c>
      <c r="C4" s="5"/>
      <c r="D4" s="5" t="s">
        <v>45</v>
      </c>
      <c r="E4" s="3" t="s">
        <v>62</v>
      </c>
    </row>
    <row r="5" spans="1:5">
      <c r="A5" s="3" t="str">
        <f>'esp32 (v2)'!A28</f>
        <v>GPIO20</v>
      </c>
      <c r="B5" s="5" t="s">
        <v>34</v>
      </c>
      <c r="C5" s="5"/>
      <c r="D5" s="5" t="s">
        <v>46</v>
      </c>
      <c r="E5" s="3" t="s">
        <v>62</v>
      </c>
    </row>
    <row r="6" spans="1:5">
      <c r="A6" s="3" t="str">
        <f>'esp32 (v2)'!A29</f>
        <v>GPIO21</v>
      </c>
      <c r="B6" s="5" t="s">
        <v>35</v>
      </c>
      <c r="C6" s="5"/>
      <c r="D6" s="5" t="s">
        <v>47</v>
      </c>
      <c r="E6" s="3" t="s">
        <v>62</v>
      </c>
    </row>
    <row r="7" spans="1:5">
      <c r="A7" s="3" t="s">
        <v>89</v>
      </c>
      <c r="B7" s="5" t="s">
        <v>36</v>
      </c>
      <c r="C7" s="5"/>
      <c r="D7" s="5" t="s">
        <v>48</v>
      </c>
      <c r="E7" s="3" t="s">
        <v>62</v>
      </c>
    </row>
    <row r="8" spans="1:5">
      <c r="A8" s="3" t="s">
        <v>2</v>
      </c>
      <c r="B8" s="5" t="s">
        <v>37</v>
      </c>
      <c r="C8" s="5"/>
      <c r="D8" s="5" t="s">
        <v>49</v>
      </c>
      <c r="E8" s="3" t="s">
        <v>62</v>
      </c>
    </row>
    <row r="9" spans="1:5">
      <c r="A9" s="3" t="s">
        <v>2</v>
      </c>
      <c r="B9" s="5" t="s">
        <v>38</v>
      </c>
      <c r="C9" s="5"/>
      <c r="D9" s="5" t="s">
        <v>50</v>
      </c>
      <c r="E9" s="3" t="s">
        <v>61</v>
      </c>
    </row>
    <row r="10" spans="1:5">
      <c r="A10" s="3" t="s">
        <v>2</v>
      </c>
      <c r="B10" s="5" t="s">
        <v>39</v>
      </c>
      <c r="C10" s="5"/>
      <c r="D10" s="5" t="s">
        <v>51</v>
      </c>
      <c r="E10" s="3" t="s">
        <v>61</v>
      </c>
    </row>
    <row r="11" spans="1:5">
      <c r="A11" s="3" t="s">
        <v>57</v>
      </c>
      <c r="B11" s="5" t="s">
        <v>40</v>
      </c>
      <c r="C11" s="5"/>
      <c r="D11" s="5" t="s">
        <v>52</v>
      </c>
      <c r="E11" s="3" t="s">
        <v>60</v>
      </c>
    </row>
    <row r="12" spans="1:5">
      <c r="A12" s="3" t="s">
        <v>57</v>
      </c>
      <c r="B12" s="5" t="s">
        <v>41</v>
      </c>
      <c r="C12" s="5"/>
      <c r="D12" s="5" t="s">
        <v>53</v>
      </c>
      <c r="E12" s="3" t="s">
        <v>60</v>
      </c>
    </row>
    <row r="13" spans="1:5">
      <c r="A13" s="3" t="s">
        <v>58</v>
      </c>
      <c r="B13" s="5" t="s">
        <v>42</v>
      </c>
      <c r="C13" s="5"/>
      <c r="D13" s="5" t="s">
        <v>54</v>
      </c>
      <c r="E13" s="3" t="s">
        <v>59</v>
      </c>
    </row>
    <row r="14" spans="1:5" ht="15" thickBot="1">
      <c r="A14" s="3" t="s">
        <v>58</v>
      </c>
      <c r="B14" s="6" t="s">
        <v>43</v>
      </c>
      <c r="C14" s="6"/>
      <c r="D14" s="6" t="s">
        <v>55</v>
      </c>
      <c r="E14" s="3" t="s">
        <v>59</v>
      </c>
    </row>
    <row r="31" spans="2:5" ht="44" customHeight="1">
      <c r="B31" s="34" t="s">
        <v>103</v>
      </c>
      <c r="C31" s="34"/>
      <c r="D31" s="34"/>
      <c r="E31" s="34"/>
    </row>
  </sheetData>
  <mergeCells count="1">
    <mergeCell ref="B31:E31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esp32 (v2)</vt:lpstr>
      <vt:lpstr>TB6612FNG</vt:lpstr>
      <vt:lpstr>pca9548a</vt:lpstr>
      <vt:lpstr>pca9548a!Print_Area</vt:lpstr>
      <vt:lpstr>TB6612FNG!Print_Area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Levy</dc:creator>
  <cp:lastModifiedBy>Evan Levy</cp:lastModifiedBy>
  <cp:lastPrinted>2025-09-15T19:23:49Z</cp:lastPrinted>
  <dcterms:created xsi:type="dcterms:W3CDTF">2025-06-28T01:13:45Z</dcterms:created>
  <dcterms:modified xsi:type="dcterms:W3CDTF">2025-10-01T02:18:18Z</dcterms:modified>
</cp:coreProperties>
</file>